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My Logs\"/>
    </mc:Choice>
  </mc:AlternateContent>
  <xr:revisionPtr revIDLastSave="0" documentId="13_ncr:1_{F64AE3B3-A4AF-462B-9529-CBD955F5042A}" xr6:coauthVersionLast="47" xr6:coauthVersionMax="47" xr10:uidLastSave="{00000000-0000-0000-0000-000000000000}"/>
  <bookViews>
    <workbookView xWindow="-108" yWindow="-108" windowWidth="23256" windowHeight="12456" activeTab="2" xr2:uid="{C9CC05E4-3A58-4AD2-A540-85DF9C72AB5D}"/>
  </bookViews>
  <sheets>
    <sheet name="Pivot report" sheetId="1" r:id="rId1"/>
    <sheet name="Average wait time daily trend " sheetId="4" r:id="rId2"/>
    <sheet name="Dashboard" sheetId="2" r:id="rId3"/>
    <sheet name="Satisfaction Score daily trend" sheetId="5" r:id="rId4"/>
    <sheet name="Daily ER No. of patient" sheetId="3" r:id="rId5"/>
  </sheets>
  <definedNames>
    <definedName name="Slicer_Date__Month">#N/A</definedName>
    <definedName name="Slicer_Date__Year">#N/A</definedName>
  </definedNames>
  <calcPr calcId="191029"/>
  <pivotCaches>
    <pivotCache cacheId="179" r:id="rId6"/>
    <pivotCache cacheId="182" r:id="rId7"/>
    <pivotCache cacheId="185" r:id="rId8"/>
    <pivotCache cacheId="188" r:id="rId9"/>
    <pivotCache cacheId="191" r:id="rId10"/>
    <pivotCache cacheId="194" r:id="rId11"/>
    <pivotCache cacheId="197" r:id="rId12"/>
    <pivotCache cacheId="200" r:id="rId13"/>
    <pivotCache cacheId="203" r:id="rId14"/>
    <pivotCache cacheId="206" r:id="rId15"/>
    <pivotCache cacheId="209"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10628b6-80df-4092-ad4e-318589d212a8" name="Hospital Emergency Room Data" connection="Query - Hospital Emergency Room Data"/>
          <x15:modelTable id="Calender_table_21454068-073f-4df2-a134-cbeabf380e4e"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 l="1"/>
  <c r="B46" i="1"/>
  <c r="C46" i="1"/>
  <c r="A47" i="1"/>
  <c r="B47" i="1"/>
  <c r="C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D15282-EE1C-483E-B5A3-BD3F8793B182}" name="Query - Calender_table" description="Connection to the 'Calender_table' query in the workbook." type="100" refreshedVersion="8" minRefreshableVersion="5">
    <extLst>
      <ext xmlns:x15="http://schemas.microsoft.com/office/spreadsheetml/2010/11/main" uri="{DE250136-89BD-433C-8126-D09CA5730AF9}">
        <x15:connection id="373cba4c-8e2b-4389-a3eb-72ec4eeadcbf"/>
      </ext>
    </extLst>
  </connection>
  <connection id="2" xr16:uid="{2E75C98E-0409-4CD0-8193-F1719BEFD645}"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9ba6a971-fdea-4db6-8d22-f988775989f5"/>
      </ext>
    </extLst>
  </connection>
  <connection id="3" xr16:uid="{E3F56C95-B0EB-47E7-916D-03432DB821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<sst xmlns="http://schemas.openxmlformats.org/spreadsheetml/2006/main" count="119" uniqueCount="73">
  <si>
    <t>Count of Patient Id</t>
  </si>
  <si>
    <t>Distinct Count of Patient Id</t>
  </si>
  <si>
    <t>No, of patient</t>
  </si>
  <si>
    <t>Average of Patient Waittime</t>
  </si>
  <si>
    <t>Average of Patient Satisfaction Score</t>
  </si>
  <si>
    <t>Row Labels</t>
  </si>
  <si>
    <t>Grand Total</t>
  </si>
  <si>
    <t>2024</t>
  </si>
  <si>
    <t>Daily trends No. of patients</t>
  </si>
  <si>
    <t>Average wait time</t>
  </si>
  <si>
    <t>Use an area Chart to show trends, spot drops in satisfaction, and link them to busy times or challenges.</t>
  </si>
  <si>
    <t>Count of Patient Admission Flag</t>
  </si>
  <si>
    <t>Admitted</t>
  </si>
  <si>
    <t>Not Admitted</t>
  </si>
  <si>
    <t>Count of Patient Admission Flag2</t>
  </si>
  <si>
    <t>Admission status</t>
  </si>
  <si>
    <t>% Status</t>
  </si>
  <si>
    <t>No. of Patient</t>
  </si>
  <si>
    <t>0-09</t>
  </si>
  <si>
    <t>10-19</t>
  </si>
  <si>
    <t>20-29</t>
  </si>
  <si>
    <t>30-39</t>
  </si>
  <si>
    <t>40-49</t>
  </si>
  <si>
    <t>50-59</t>
  </si>
  <si>
    <t>60-69</t>
  </si>
  <si>
    <t>70-79</t>
  </si>
  <si>
    <t>Count of Age group</t>
  </si>
  <si>
    <t>OnTime</t>
  </si>
  <si>
    <t>Delay</t>
  </si>
  <si>
    <t>attendence status</t>
  </si>
  <si>
    <t>Female</t>
  </si>
  <si>
    <t>Male</t>
  </si>
  <si>
    <t>Count of Patient Gender</t>
  </si>
  <si>
    <t>gender</t>
  </si>
  <si>
    <t>Cardiology</t>
  </si>
  <si>
    <t>Gastroenterology</t>
  </si>
  <si>
    <t>General Practice</t>
  </si>
  <si>
    <t>Neurology</t>
  </si>
  <si>
    <t>None</t>
  </si>
  <si>
    <t>Orthopedics</t>
  </si>
  <si>
    <t>Physiotherapy</t>
  </si>
  <si>
    <t>Renal</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</si>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</sst>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11"/>
      <color theme="1"/>
      <name val="Arial Rounded MT Bold"/>
      <family val="2"/>
    </font>
    <font>
      <sz val="12"/>
      <color theme="0"/>
      <name val="Aptos Narrow"/>
      <family val="2"/>
      <scheme val="minor"/>
    </font>
  </fonts>
  <fills count="5">
    <fill>
      <patternFill patternType="none"/>
    </fill>
    <fill>
      <patternFill patternType="gray125"/>
    </fill>
    <fill>
      <patternFill patternType="solid">
        <fgColor rgb="FF1F5891"/>
        <bgColor indexed="64"/>
      </patternFill>
    </fill>
    <fill>
      <patternFill patternType="solid">
        <fgColor theme="0" tint="-0.14999847407452621"/>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1" fontId="0" fillId="0" borderId="0" xfId="0" applyNumberFormat="1"/>
    <xf numFmtId="10" fontId="0" fillId="0" borderId="0" xfId="0" applyNumberFormat="1"/>
    <xf numFmtId="9" fontId="0" fillId="0" borderId="0" xfId="1" applyFont="1"/>
    <xf numFmtId="9" fontId="0" fillId="0" borderId="0" xfId="0" applyNumberFormat="1"/>
    <xf numFmtId="0" fontId="3" fillId="4" borderId="0" xfId="0" applyFont="1" applyFill="1" applyAlignment="1">
      <alignment horizontal="center"/>
    </xf>
    <xf numFmtId="0" fontId="0" fillId="0" borderId="0" xfId="0" applyAlignment="1">
      <alignment horizontal="center"/>
    </xf>
    <xf numFmtId="9" fontId="0" fillId="0" borderId="0" xfId="1" applyFont="1" applyAlignment="1">
      <alignment horizontal="center"/>
    </xf>
    <xf numFmtId="0" fontId="0" fillId="0" borderId="0" xfId="0" applyNumberFormat="1"/>
  </cellXfs>
  <cellStyles count="2">
    <cellStyle name="Normal" xfId="0" builtinId="0"/>
    <cellStyle name="Percent" xfId="1" builtinId="5"/>
  </cellStyles>
  <dxfs count="52">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4" formatCode="0.00%"/>
    </dxf>
    <dxf>
      <numFmt numFmtId="13" formatCode="0%"/>
    </dxf>
    <dxf>
      <numFmt numFmtId="2" formatCode="0.00"/>
    </dxf>
    <dxf>
      <numFmt numFmtId="2" formatCode="0.00"/>
    </dxf>
    <dxf>
      <numFmt numFmtId="2" formatCode="0.00"/>
    </dxf>
    <dxf>
      <numFmt numFmtId="2" formatCode="0.00"/>
    </dxf>
    <dxf>
      <numFmt numFmtId="2" formatCode="0.00"/>
    </dxf>
    <dxf>
      <numFmt numFmtId="13" formatCode="0%"/>
    </dxf>
    <dxf>
      <numFmt numFmtId="14" formatCode="0.00%"/>
    </dxf>
    <dxf>
      <numFmt numFmtId="1" formatCode="0"/>
    </dxf>
    <dxf>
      <numFmt numFmtId="2" formatCode="0.00"/>
    </dxf>
    <dxf>
      <numFmt numFmtId="2" formatCode="0.00"/>
    </dxf>
    <dxf>
      <numFmt numFmtId="2" formatCode="0.00"/>
    </dxf>
    <dxf>
      <font>
        <color theme="1"/>
      </font>
      <border>
        <left style="thin">
          <color theme="5"/>
        </left>
        <right style="thin">
          <color theme="5"/>
        </right>
        <top style="thin">
          <color theme="5"/>
        </top>
        <bottom style="thin">
          <color theme="5"/>
        </bottom>
        <vertical/>
        <horizontal/>
      </border>
    </dxf>
    <dxf>
      <font>
        <b/>
        <color theme="1"/>
      </font>
      <border diagonalUp="0" diagonalDown="0">
        <left/>
        <right/>
        <top/>
        <bottom/>
        <vertical/>
        <horizontal/>
      </border>
    </dxf>
    <dxf>
      <font>
        <b/>
        <i val="0"/>
        <sz val="8"/>
        <color theme="3" tint="0.89989928891872917"/>
      </font>
      <fill>
        <patternFill patternType="solid">
          <fgColor theme="3" tint="0.89996032593768116"/>
          <bgColor theme="3" tint="0.89996032593768116"/>
        </patternFill>
      </fill>
      <border diagonalUp="0" diagonalDown="0">
        <left/>
        <right/>
        <top/>
        <bottom/>
        <vertical/>
        <horizontal style="thin">
          <color auto="1"/>
        </horizontal>
      </border>
    </dxf>
  </dxfs>
  <tableStyles count="2" defaultTableStyle="TableStyleMedium2" defaultPivotStyle="PivotStyleLight16">
    <tableStyle name="My Style" pivot="0" table="0" count="10" xr9:uid="{A3A0073F-DCC5-45C8-AD0F-0587F820F38B}">
      <tableStyleElement type="wholeTable" dxfId="51"/>
      <tableStyleElement type="headerRow" dxfId="50"/>
    </tableStyle>
    <tableStyle name="SlicerStyleLight2 2" pivot="0" table="0" count="9" xr9:uid="{F110BEDE-2FDE-4652-A339-6A01DD9C6C10}">
      <tableStyleElement type="wholeTable" dxfId="49"/>
    </tableStyle>
  </tableStyles>
  <colors>
    <mruColors>
      <color rgb="FF1F5891"/>
      <color rgb="FF0038A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52BE22-F465-437F-8159-521ABA1345F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A9EF80-E91B-467E-877D-74E7934AF4D4}"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8115972783305496E-2"/>
          <c:y val="0.15933046987091609"/>
          <c:w val="0.87724632848337702"/>
          <c:h val="0.68133906025816782"/>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5765-43C1-A8D7-720A6ECFF2AD}"/>
              </c:ext>
            </c:extLst>
          </c:dPt>
          <c:dPt>
            <c:idx val="1"/>
            <c:invertIfNegative val="0"/>
            <c:bubble3D val="0"/>
            <c:extLst>
              <c:ext xmlns:c16="http://schemas.microsoft.com/office/drawing/2014/chart" uri="{C3380CC4-5D6E-409C-BE32-E72D297353CC}">
                <c16:uniqueId val="{00000004-5765-43C1-A8D7-720A6ECFF2AD}"/>
              </c:ext>
            </c:extLst>
          </c:dPt>
          <c:dLbls>
            <c:dLbl>
              <c:idx val="0"/>
              <c:tx>
                <c:rich>
                  <a:bodyPr/>
                  <a:lstStyle/>
                  <a:p>
                    <a:fld id="{DF52BE22-F465-437F-8159-521ABA1345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765-43C1-A8D7-720A6ECFF2AD}"/>
                </c:ext>
              </c:extLst>
            </c:dLbl>
            <c:dLbl>
              <c:idx val="1"/>
              <c:tx>
                <c:rich>
                  <a:bodyPr/>
                  <a:lstStyle/>
                  <a:p>
                    <a:fld id="{49A9EF80-E91B-467E-877D-74E7934AF4D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765-43C1-A8D7-720A6ECFF2AD}"/>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c:formatCode>
                <c:ptCount val="2"/>
                <c:pt idx="0">
                  <c:v>235</c:v>
                </c:pt>
                <c:pt idx="1">
                  <c:v>250</c:v>
                </c:pt>
              </c:numCache>
            </c:numRef>
          </c:val>
          <c:extLst>
            <c:ext xmlns:c15="http://schemas.microsoft.com/office/drawing/2012/chart" uri="{02D57815-91ED-43cb-92C2-25804820EDAC}">
              <c15:datalabelsRange>
                <c15:f>'Pivot report'!$C$39:$C$40</c15:f>
                <c15:dlblRangeCache>
                  <c:ptCount val="2"/>
                  <c:pt idx="0">
                    <c:v>48%</c:v>
                  </c:pt>
                  <c:pt idx="1">
                    <c:v>52%</c:v>
                  </c:pt>
                </c15:dlblRangeCache>
              </c15:datalabelsRange>
            </c:ext>
            <c:ext xmlns:c16="http://schemas.microsoft.com/office/drawing/2014/chart" uri="{C3380CC4-5D6E-409C-BE32-E72D297353CC}">
              <c16:uniqueId val="{00000000-5765-43C1-A8D7-720A6ECFF2AD}"/>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c:formatCode>
                <c:ptCount val="2"/>
                <c:pt idx="0">
                  <c:v>0.4845360824742268</c:v>
                </c:pt>
                <c:pt idx="1">
                  <c:v>0.51546391752577314</c:v>
                </c:pt>
              </c:numCache>
            </c:numRef>
          </c:val>
          <c:extLst>
            <c:ext xmlns:c16="http://schemas.microsoft.com/office/drawing/2014/chart" uri="{C3380CC4-5D6E-409C-BE32-E72D297353CC}">
              <c16:uniqueId val="{00000001-5765-43C1-A8D7-720A6ECFF2AD}"/>
            </c:ext>
          </c:extLst>
        </c:ser>
        <c:dLbls>
          <c:showLegendKey val="0"/>
          <c:showVal val="0"/>
          <c:showCatName val="0"/>
          <c:showSerName val="0"/>
          <c:showPercent val="0"/>
          <c:showBubbleSize val="0"/>
        </c:dLbls>
        <c:gapWidth val="0"/>
        <c:axId val="539768672"/>
        <c:axId val="539769152"/>
      </c:barChart>
      <c:catAx>
        <c:axId val="539768672"/>
        <c:scaling>
          <c:orientation val="minMax"/>
        </c:scaling>
        <c:delete val="1"/>
        <c:axPos val="l"/>
        <c:numFmt formatCode="General" sourceLinked="1"/>
        <c:majorTickMark val="none"/>
        <c:minorTickMark val="none"/>
        <c:tickLblPos val="nextTo"/>
        <c:crossAx val="539769152"/>
        <c:crosses val="autoZero"/>
        <c:auto val="1"/>
        <c:lblAlgn val="ctr"/>
        <c:lblOffset val="100"/>
        <c:noMultiLvlLbl val="0"/>
      </c:catAx>
      <c:valAx>
        <c:axId val="539769152"/>
        <c:scaling>
          <c:orientation val="minMax"/>
        </c:scaling>
        <c:delete val="1"/>
        <c:axPos val="b"/>
        <c:numFmt formatCode="0" sourceLinked="1"/>
        <c:majorTickMark val="none"/>
        <c:minorTickMark val="none"/>
        <c:tickLblPos val="nextTo"/>
        <c:crossAx val="53976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38326460861069E-2"/>
          <c:y val="0.29106240294136815"/>
          <c:w val="0.94375437445319332"/>
          <c:h val="0.64519401278972277"/>
        </c:manualLayout>
      </c:layout>
      <c:areaChart>
        <c:grouping val="standard"/>
        <c:varyColors val="0"/>
        <c:ser>
          <c:idx val="0"/>
          <c:order val="0"/>
          <c:tx>
            <c:strRef>
              <c:f>'Pivot 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1525-440E-B947-29B623240CF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7285871"/>
        <c:axId val="47286351"/>
      </c:areaChart>
      <c:catAx>
        <c:axId val="472858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286351"/>
        <c:crosses val="autoZero"/>
        <c:auto val="1"/>
        <c:lblAlgn val="ctr"/>
        <c:lblOffset val="100"/>
        <c:noMultiLvlLbl val="0"/>
      </c:catAx>
      <c:valAx>
        <c:axId val="47286351"/>
        <c:scaling>
          <c:orientation val="minMax"/>
        </c:scaling>
        <c:delete val="1"/>
        <c:axPos val="l"/>
        <c:numFmt formatCode="0.00" sourceLinked="1"/>
        <c:majorTickMark val="out"/>
        <c:minorTickMark val="none"/>
        <c:tickLblPos val="nextTo"/>
        <c:crossAx val="47285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07825600036261E-2"/>
          <c:y val="0.32886131762736959"/>
          <c:w val="0.92126591513342138"/>
          <c:h val="0.67113868237263041"/>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7384-4200-B61F-80DB2FB12CE7}"/>
            </c:ext>
          </c:extLst>
        </c:ser>
        <c:dLbls>
          <c:showLegendKey val="0"/>
          <c:showVal val="0"/>
          <c:showCatName val="0"/>
          <c:showSerName val="0"/>
          <c:showPercent val="0"/>
          <c:showBubbleSize val="0"/>
        </c:dLbls>
        <c:axId val="550557360"/>
        <c:axId val="550557840"/>
      </c:areaChart>
      <c:catAx>
        <c:axId val="550557360"/>
        <c:scaling>
          <c:orientation val="minMax"/>
        </c:scaling>
        <c:delete val="1"/>
        <c:axPos val="b"/>
        <c:numFmt formatCode="General" sourceLinked="1"/>
        <c:majorTickMark val="out"/>
        <c:minorTickMark val="none"/>
        <c:tickLblPos val="nextTo"/>
        <c:crossAx val="550557840"/>
        <c:crosses val="autoZero"/>
        <c:auto val="1"/>
        <c:lblAlgn val="ctr"/>
        <c:lblOffset val="100"/>
        <c:noMultiLvlLbl val="0"/>
      </c:catAx>
      <c:valAx>
        <c:axId val="550557840"/>
        <c:scaling>
          <c:orientation val="minMax"/>
        </c:scaling>
        <c:delete val="1"/>
        <c:axPos val="l"/>
        <c:numFmt formatCode="General" sourceLinked="1"/>
        <c:majorTickMark val="none"/>
        <c:minorTickMark val="none"/>
        <c:tickLblPos val="nextTo"/>
        <c:crossAx val="55055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38326460861069E-2"/>
          <c:y val="0.29106240294136815"/>
          <c:w val="0.94375437445319332"/>
          <c:h val="0.64519401278972277"/>
        </c:manualLayout>
      </c:layout>
      <c:areaChart>
        <c:grouping val="standard"/>
        <c:varyColors val="0"/>
        <c:ser>
          <c:idx val="0"/>
          <c:order val="0"/>
          <c:tx>
            <c:strRef>
              <c:f>'Pivot report'!$H$6</c:f>
              <c:strCache>
                <c:ptCount val="1"/>
                <c:pt idx="0">
                  <c:v>Total</c:v>
                </c:pt>
              </c:strCache>
            </c:strRef>
          </c:tx>
          <c:spPr>
            <a:solidFill>
              <a:schemeClr val="accent1"/>
            </a:solidFill>
            <a:ln>
              <a:noFill/>
            </a:ln>
            <a:effectLst/>
          </c:spPr>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D92C-45E6-A91F-85C374F35FA3}"/>
            </c:ext>
          </c:extLst>
        </c:ser>
        <c:dLbls>
          <c:showLegendKey val="0"/>
          <c:showVal val="0"/>
          <c:showCatName val="0"/>
          <c:showSerName val="0"/>
          <c:showPercent val="0"/>
          <c:showBubbleSize val="0"/>
        </c:dLbls>
        <c:axId val="47285871"/>
        <c:axId val="47286351"/>
      </c:areaChart>
      <c:catAx>
        <c:axId val="47285871"/>
        <c:scaling>
          <c:orientation val="minMax"/>
        </c:scaling>
        <c:delete val="1"/>
        <c:axPos val="b"/>
        <c:numFmt formatCode="General" sourceLinked="1"/>
        <c:majorTickMark val="out"/>
        <c:minorTickMark val="none"/>
        <c:tickLblPos val="nextTo"/>
        <c:crossAx val="47286351"/>
        <c:crosses val="autoZero"/>
        <c:auto val="1"/>
        <c:lblAlgn val="ctr"/>
        <c:lblOffset val="100"/>
        <c:noMultiLvlLbl val="0"/>
      </c:catAx>
      <c:valAx>
        <c:axId val="47286351"/>
        <c:scaling>
          <c:orientation val="minMax"/>
        </c:scaling>
        <c:delete val="1"/>
        <c:axPos val="l"/>
        <c:numFmt formatCode="0.00" sourceLinked="1"/>
        <c:majorTickMark val="none"/>
        <c:minorTickMark val="none"/>
        <c:tickLblPos val="nextTo"/>
        <c:crossAx val="47285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66922909524608E-2"/>
          <c:y val="0.48778470635278776"/>
          <c:w val="0.87709033408604675"/>
          <c:h val="0.49934720083249962"/>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187B-4572-B353-19C09F30FB97}"/>
            </c:ext>
          </c:extLst>
        </c:ser>
        <c:dLbls>
          <c:showLegendKey val="0"/>
          <c:showVal val="0"/>
          <c:showCatName val="0"/>
          <c:showSerName val="0"/>
          <c:showPercent val="0"/>
          <c:showBubbleSize val="0"/>
        </c:dLbls>
        <c:axId val="609124176"/>
        <c:axId val="609121296"/>
      </c:areaChart>
      <c:catAx>
        <c:axId val="609124176"/>
        <c:scaling>
          <c:orientation val="minMax"/>
        </c:scaling>
        <c:delete val="1"/>
        <c:axPos val="b"/>
        <c:numFmt formatCode="General" sourceLinked="1"/>
        <c:majorTickMark val="out"/>
        <c:minorTickMark val="none"/>
        <c:tickLblPos val="nextTo"/>
        <c:crossAx val="609121296"/>
        <c:crosses val="autoZero"/>
        <c:auto val="1"/>
        <c:lblAlgn val="ctr"/>
        <c:lblOffset val="100"/>
        <c:noMultiLvlLbl val="0"/>
      </c:catAx>
      <c:valAx>
        <c:axId val="609121296"/>
        <c:scaling>
          <c:orientation val="minMax"/>
        </c:scaling>
        <c:delete val="1"/>
        <c:axPos val="l"/>
        <c:numFmt formatCode="0.00" sourceLinked="1"/>
        <c:majorTickMark val="none"/>
        <c:minorTickMark val="none"/>
        <c:tickLblPos val="nextTo"/>
        <c:crossAx val="6091241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13"/>
  </c:pivotSource>
  <c:chart>
    <c:autoTitleDeleted val="1"/>
    <c:pivotFmts>
      <c:pivotFmt>
        <c:idx val="0"/>
      </c:pivotFmt>
      <c:pivotFmt>
        <c:idx val="1"/>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35261707988982E-2"/>
          <c:y val="9.6618357487922704E-2"/>
          <c:w val="0.9242424242424242"/>
          <c:h val="0.73334728086525403"/>
        </c:manualLayout>
      </c:layout>
      <c:barChart>
        <c:barDir val="col"/>
        <c:grouping val="clustered"/>
        <c:varyColors val="0"/>
        <c:ser>
          <c:idx val="0"/>
          <c:order val="0"/>
          <c:tx>
            <c:strRef>
              <c:f>'Pivot report'!$E$5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8491-48D7-8B3D-E131C2386CE3}"/>
            </c:ext>
          </c:extLst>
        </c:ser>
        <c:dLbls>
          <c:dLblPos val="inEnd"/>
          <c:showLegendKey val="0"/>
          <c:showVal val="1"/>
          <c:showCatName val="0"/>
          <c:showSerName val="0"/>
          <c:showPercent val="0"/>
          <c:showBubbleSize val="0"/>
        </c:dLbls>
        <c:gapWidth val="41"/>
        <c:axId val="609132880"/>
        <c:axId val="609122256"/>
      </c:barChart>
      <c:catAx>
        <c:axId val="609132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09122256"/>
        <c:crosses val="autoZero"/>
        <c:auto val="1"/>
        <c:lblAlgn val="ctr"/>
        <c:lblOffset val="100"/>
        <c:noMultiLvlLbl val="0"/>
      </c:catAx>
      <c:valAx>
        <c:axId val="609122256"/>
        <c:scaling>
          <c:orientation val="minMax"/>
        </c:scaling>
        <c:delete val="1"/>
        <c:axPos val="l"/>
        <c:numFmt formatCode="General" sourceLinked="1"/>
        <c:majorTickMark val="none"/>
        <c:minorTickMark val="none"/>
        <c:tickLblPos val="nextTo"/>
        <c:crossAx val="60913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284722222222222"/>
          <c:y val="0.29588744588744587"/>
          <c:w val="0.76794004265091864"/>
          <c:h val="0.63828782765790637"/>
        </c:manualLayout>
      </c:layout>
      <c:pieChart>
        <c:varyColors val="1"/>
        <c:ser>
          <c:idx val="0"/>
          <c:order val="0"/>
          <c:tx>
            <c:strRef>
              <c:f>'Pivot report'!$H$42</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24-449B-AAE9-7CA0DB90356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24-449B-AAE9-7CA0DB90356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report'!$G$43:$G$45</c:f>
              <c:strCache>
                <c:ptCount val="2"/>
                <c:pt idx="0">
                  <c:v>Delay</c:v>
                </c:pt>
                <c:pt idx="1">
                  <c:v>OnTime</c:v>
                </c:pt>
              </c:strCache>
            </c:strRef>
          </c:cat>
          <c:val>
            <c:numRef>
              <c:f>'Pivot report'!$H$43:$H$45</c:f>
              <c:numCache>
                <c:formatCode>General</c:formatCode>
                <c:ptCount val="2"/>
                <c:pt idx="0">
                  <c:v>297</c:v>
                </c:pt>
                <c:pt idx="1">
                  <c:v>188</c:v>
                </c:pt>
              </c:numCache>
            </c:numRef>
          </c:val>
          <c:extLst>
            <c:ext xmlns:c16="http://schemas.microsoft.com/office/drawing/2014/chart" uri="{C3380CC4-5D6E-409C-BE32-E72D297353CC}">
              <c16:uniqueId val="{00000004-6424-449B-AAE9-7CA0DB9035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6227991032370954E-2"/>
          <c:y val="6.1110892388451445E-2"/>
          <c:w val="0.92118670713035866"/>
          <c:h val="0.179556532706139"/>
        </c:manualLayout>
      </c:layout>
      <c:overlay val="1"/>
      <c:spPr>
        <a:solidFill>
          <a:schemeClr val="tx2">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207152230971129"/>
          <c:y val="0.28653941660949123"/>
          <c:w val="0.70918110236220488"/>
          <c:h val="0.62053321008316531"/>
        </c:manualLayout>
      </c:layout>
      <c:doughnutChart>
        <c:varyColors val="1"/>
        <c:ser>
          <c:idx val="0"/>
          <c:order val="0"/>
          <c:tx>
            <c:strRef>
              <c:f>'Pivot report'!$H$47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FF-4EFB-92AB-3E2B2C9F94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FF-4EFB-92AB-3E2B2C9F94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report'!$G$48:$G$50</c:f>
              <c:strCache>
                <c:ptCount val="2"/>
                <c:pt idx="0">
                  <c:v>Female</c:v>
                </c:pt>
                <c:pt idx="1">
                  <c:v>Male</c:v>
                </c:pt>
              </c:strCache>
            </c:strRef>
          </c:cat>
          <c:val>
            <c:numRef>
              <c:f>'Pivot report'!$H$48:$H$50</c:f>
              <c:numCache>
                <c:formatCode>General</c:formatCode>
                <c:ptCount val="2"/>
                <c:pt idx="0">
                  <c:v>239</c:v>
                </c:pt>
                <c:pt idx="1">
                  <c:v>246</c:v>
                </c:pt>
              </c:numCache>
            </c:numRef>
          </c:val>
          <c:extLst>
            <c:ext xmlns:c16="http://schemas.microsoft.com/office/drawing/2014/chart" uri="{C3380CC4-5D6E-409C-BE32-E72D297353CC}">
              <c16:uniqueId val="{00000004-07FF-4EFB-92AB-3E2B2C9F94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3.7938976377952752E-2"/>
          <c:y val="5.6944448431574618E-2"/>
          <c:w val="0.8852329396325459"/>
          <c:h val="0.18194480727329099"/>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Dashboard of Hospital Emergency Room.xlsx]Pivot report!PivotTable10</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87672760913594"/>
          <c:y val="6.0667123575524624E-2"/>
          <c:w val="0.76708573928258972"/>
          <c:h val="0.84204505686789155"/>
        </c:manualLayout>
      </c:layout>
      <c:barChart>
        <c:barDir val="bar"/>
        <c:grouping val="clustered"/>
        <c:varyColors val="0"/>
        <c:ser>
          <c:idx val="0"/>
          <c:order val="0"/>
          <c:tx>
            <c:strRef>
              <c:f>'Pivot report'!$H$53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report'!$G$54:$G$62</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report'!$H$54:$H$62</c:f>
              <c:numCache>
                <c:formatCode>General</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0D7A-46E7-8931-29DD913374A7}"/>
            </c:ext>
          </c:extLst>
        </c:ser>
        <c:dLbls>
          <c:dLblPos val="inEnd"/>
          <c:showLegendKey val="0"/>
          <c:showVal val="1"/>
          <c:showCatName val="0"/>
          <c:showSerName val="0"/>
          <c:showPercent val="0"/>
          <c:showBubbleSize val="0"/>
        </c:dLbls>
        <c:gapWidth val="48"/>
        <c:axId val="2130696304"/>
        <c:axId val="2130701104"/>
      </c:barChart>
      <c:catAx>
        <c:axId val="2130696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0701104"/>
        <c:crosses val="autoZero"/>
        <c:auto val="1"/>
        <c:lblAlgn val="ctr"/>
        <c:lblOffset val="100"/>
        <c:noMultiLvlLbl val="0"/>
      </c:catAx>
      <c:valAx>
        <c:axId val="2130701104"/>
        <c:scaling>
          <c:orientation val="minMax"/>
        </c:scaling>
        <c:delete val="1"/>
        <c:axPos val="b"/>
        <c:numFmt formatCode="General" sourceLinked="1"/>
        <c:majorTickMark val="none"/>
        <c:minorTickMark val="none"/>
        <c:tickLblPos val="nextTo"/>
        <c:crossAx val="21306963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66922909524608E-2"/>
          <c:y val="0.1818603732437454"/>
          <c:w val="0.87709033408604675"/>
          <c:h val="0.80527153394154183"/>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report'!$K$6:$K$36</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DC2E-4D58-AABB-181B78EA659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9124176"/>
        <c:axId val="609121296"/>
      </c:areaChart>
      <c:catAx>
        <c:axId val="609124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9121296"/>
        <c:crosses val="autoZero"/>
        <c:auto val="1"/>
        <c:lblAlgn val="ctr"/>
        <c:lblOffset val="100"/>
        <c:noMultiLvlLbl val="0"/>
      </c:catAx>
      <c:valAx>
        <c:axId val="609121296"/>
        <c:scaling>
          <c:orientation val="minMax"/>
        </c:scaling>
        <c:delete val="1"/>
        <c:axPos val="l"/>
        <c:numFmt formatCode="0.00" sourceLinked="1"/>
        <c:majorTickMark val="out"/>
        <c:minorTickMark val="none"/>
        <c:tickLblPos val="nextTo"/>
        <c:crossAx val="609124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 Room.xlsx]Pivot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26608037631648E-2"/>
          <c:y val="0.14959600638155524"/>
          <c:w val="0.91062583086205129"/>
          <c:h val="0.65521111331671777"/>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report'!$D$6:$D$14</c:f>
              <c:strCache>
                <c:ptCount val="8"/>
                <c:pt idx="0">
                  <c:v>0-09</c:v>
                </c:pt>
                <c:pt idx="1">
                  <c:v>10-19</c:v>
                </c:pt>
                <c:pt idx="2">
                  <c:v>20-29</c:v>
                </c:pt>
                <c:pt idx="3">
                  <c:v>30-39</c:v>
                </c:pt>
                <c:pt idx="4">
                  <c:v>40-49</c:v>
                </c:pt>
                <c:pt idx="5">
                  <c:v>50-59</c:v>
                </c:pt>
                <c:pt idx="6">
                  <c:v>60-69</c:v>
                </c:pt>
                <c:pt idx="7">
                  <c:v>70-79</c:v>
                </c:pt>
              </c:strCache>
            </c:strRef>
          </c:cat>
          <c:val>
            <c:numRef>
              <c:f>'Pivot report'!$E$6:$E$14</c:f>
              <c:numCache>
                <c:formatCode>General</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580B-4F8B-B0BE-7726DD720C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50557360"/>
        <c:axId val="550557840"/>
      </c:areaChart>
      <c:catAx>
        <c:axId val="550557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50557840"/>
        <c:crosses val="autoZero"/>
        <c:auto val="1"/>
        <c:lblAlgn val="ctr"/>
        <c:lblOffset val="100"/>
        <c:noMultiLvlLbl val="0"/>
      </c:catAx>
      <c:valAx>
        <c:axId val="550557840"/>
        <c:scaling>
          <c:orientation val="minMax"/>
        </c:scaling>
        <c:delete val="1"/>
        <c:axPos val="l"/>
        <c:numFmt formatCode="General" sourceLinked="1"/>
        <c:majorTickMark val="out"/>
        <c:minorTickMark val="none"/>
        <c:tickLblPos val="nextTo"/>
        <c:crossAx val="55055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erage wait time daily trend '!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16</xdr:row>
      <xdr:rowOff>160020</xdr:rowOff>
    </xdr:from>
    <xdr:to>
      <xdr:col>1</xdr:col>
      <xdr:colOff>259080</xdr:colOff>
      <xdr:row>31</xdr:row>
      <xdr:rowOff>2845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67AE784D-879E-C855-3088-467705A424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0480" y="3010098"/>
              <a:ext cx="1831769" cy="2514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801584</xdr:colOff>
      <xdr:row>45</xdr:row>
      <xdr:rowOff>39586</xdr:rowOff>
    </xdr:from>
    <xdr:to>
      <xdr:col>3</xdr:col>
      <xdr:colOff>1316182</xdr:colOff>
      <xdr:row>46</xdr:row>
      <xdr:rowOff>168234</xdr:rowOff>
    </xdr:to>
    <xdr:graphicFrame macro="">
      <xdr:nvGraphicFramePr>
        <xdr:cNvPr id="7" name="Chart 6">
          <a:extLst>
            <a:ext uri="{FF2B5EF4-FFF2-40B4-BE49-F238E27FC236}">
              <a16:creationId xmlns:a16="http://schemas.microsoft.com/office/drawing/2014/main" id="{FAE684E4-EA28-1A35-7F54-E76F23529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34120</xdr:colOff>
      <xdr:row>10</xdr:row>
      <xdr:rowOff>109977</xdr:rowOff>
    </xdr:from>
    <xdr:to>
      <xdr:col>20</xdr:col>
      <xdr:colOff>568657</xdr:colOff>
      <xdr:row>28</xdr:row>
      <xdr:rowOff>125103</xdr:rowOff>
    </xdr:to>
    <xdr:graphicFrame macro="">
      <xdr:nvGraphicFramePr>
        <xdr:cNvPr id="2" name="Chart 1">
          <a:extLst>
            <a:ext uri="{FF2B5EF4-FFF2-40B4-BE49-F238E27FC236}">
              <a16:creationId xmlns:a16="http://schemas.microsoft.com/office/drawing/2014/main" id="{7FAB4D70-AC11-4385-970D-C58125CC7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0.00976</cdr:x>
      <cdr:y>0.05184</cdr:y>
    </cdr:from>
    <cdr:to>
      <cdr:x>0.06773</cdr:x>
      <cdr:y>0.27764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2AE24A9-F2F7-FD85-AB1A-8863492A47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5104" y="170596"/>
          <a:ext cx="743009" cy="743009"/>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133975</xdr:colOff>
      <xdr:row>0</xdr:row>
      <xdr:rowOff>83735</xdr:rowOff>
    </xdr:from>
    <xdr:to>
      <xdr:col>5</xdr:col>
      <xdr:colOff>502415</xdr:colOff>
      <xdr:row>3</xdr:row>
      <xdr:rowOff>175845</xdr:rowOff>
    </xdr:to>
    <xdr:sp macro="" textlink="">
      <xdr:nvSpPr>
        <xdr:cNvPr id="3" name="Rectangle: Rounded Corners 2">
          <a:extLst>
            <a:ext uri="{FF2B5EF4-FFF2-40B4-BE49-F238E27FC236}">
              <a16:creationId xmlns:a16="http://schemas.microsoft.com/office/drawing/2014/main" id="{EC137607-272C-130B-18DB-2B84162CFAEE}"/>
            </a:ext>
          </a:extLst>
        </xdr:cNvPr>
        <xdr:cNvSpPr/>
      </xdr:nvSpPr>
      <xdr:spPr>
        <a:xfrm>
          <a:off x="133975" y="83735"/>
          <a:ext cx="3424814" cy="644769"/>
        </a:xfrm>
        <a:prstGeom prst="roundRect">
          <a:avLst>
            <a:gd name="adj" fmla="val 29767"/>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586151</xdr:colOff>
      <xdr:row>0</xdr:row>
      <xdr:rowOff>66988</xdr:rowOff>
    </xdr:from>
    <xdr:to>
      <xdr:col>8</xdr:col>
      <xdr:colOff>234461</xdr:colOff>
      <xdr:row>4</xdr:row>
      <xdr:rowOff>16747</xdr:rowOff>
    </xdr:to>
    <xdr:sp macro="" textlink="">
      <xdr:nvSpPr>
        <xdr:cNvPr id="4" name="Rectangle: Rounded Corners 3">
          <a:extLst>
            <a:ext uri="{FF2B5EF4-FFF2-40B4-BE49-F238E27FC236}">
              <a16:creationId xmlns:a16="http://schemas.microsoft.com/office/drawing/2014/main" id="{CE337D57-0B84-66A8-F88C-CFDBCA31A050}"/>
            </a:ext>
          </a:extLst>
        </xdr:cNvPr>
        <xdr:cNvSpPr/>
      </xdr:nvSpPr>
      <xdr:spPr>
        <a:xfrm>
          <a:off x="3653943" y="66988"/>
          <a:ext cx="1488986" cy="662278"/>
        </a:xfrm>
        <a:prstGeom prst="roundRect">
          <a:avLst>
            <a:gd name="adj" fmla="val 1286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284701</xdr:colOff>
      <xdr:row>0</xdr:row>
      <xdr:rowOff>66987</xdr:rowOff>
    </xdr:from>
    <xdr:to>
      <xdr:col>10</xdr:col>
      <xdr:colOff>544286</xdr:colOff>
      <xdr:row>9</xdr:row>
      <xdr:rowOff>150724</xdr:rowOff>
    </xdr:to>
    <xdr:sp macro="" textlink="">
      <xdr:nvSpPr>
        <xdr:cNvPr id="5" name="Rectangle: Rounded Corners 4">
          <a:extLst>
            <a:ext uri="{FF2B5EF4-FFF2-40B4-BE49-F238E27FC236}">
              <a16:creationId xmlns:a16="http://schemas.microsoft.com/office/drawing/2014/main" id="{4F30E732-CCAB-72C7-6DFA-70FFD8D125C7}"/>
            </a:ext>
          </a:extLst>
        </xdr:cNvPr>
        <xdr:cNvSpPr/>
      </xdr:nvSpPr>
      <xdr:spPr>
        <a:xfrm>
          <a:off x="5161501" y="66987"/>
          <a:ext cx="1478785" cy="1729657"/>
        </a:xfrm>
        <a:prstGeom prst="roundRect">
          <a:avLst>
            <a:gd name="adj" fmla="val 683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41866</xdr:colOff>
      <xdr:row>0</xdr:row>
      <xdr:rowOff>66987</xdr:rowOff>
    </xdr:from>
    <xdr:to>
      <xdr:col>13</xdr:col>
      <xdr:colOff>301451</xdr:colOff>
      <xdr:row>9</xdr:row>
      <xdr:rowOff>150724</xdr:rowOff>
    </xdr:to>
    <xdr:sp macro="" textlink="">
      <xdr:nvSpPr>
        <xdr:cNvPr id="6" name="Rectangle: Rounded Corners 5">
          <a:extLst>
            <a:ext uri="{FF2B5EF4-FFF2-40B4-BE49-F238E27FC236}">
              <a16:creationId xmlns:a16="http://schemas.microsoft.com/office/drawing/2014/main" id="{19A97754-0C30-B3CE-4A34-26ADBBFD2657}"/>
            </a:ext>
          </a:extLst>
        </xdr:cNvPr>
        <xdr:cNvSpPr/>
      </xdr:nvSpPr>
      <xdr:spPr>
        <a:xfrm>
          <a:off x="6765888" y="66987"/>
          <a:ext cx="1482134" cy="1741715"/>
        </a:xfrm>
        <a:prstGeom prst="roundRect">
          <a:avLst>
            <a:gd name="adj" fmla="val 26935"/>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33492</xdr:colOff>
      <xdr:row>4</xdr:row>
      <xdr:rowOff>66988</xdr:rowOff>
    </xdr:from>
    <xdr:to>
      <xdr:col>1</xdr:col>
      <xdr:colOff>184220</xdr:colOff>
      <xdr:row>22</xdr:row>
      <xdr:rowOff>108857</xdr:rowOff>
    </xdr:to>
    <xdr:sp macro="" textlink="">
      <xdr:nvSpPr>
        <xdr:cNvPr id="7" name="Rectangle: Rounded Corners 6">
          <a:extLst>
            <a:ext uri="{FF2B5EF4-FFF2-40B4-BE49-F238E27FC236}">
              <a16:creationId xmlns:a16="http://schemas.microsoft.com/office/drawing/2014/main" id="{6DC323E3-440F-DD79-5974-25C7BD6D964E}"/>
            </a:ext>
          </a:extLst>
        </xdr:cNvPr>
        <xdr:cNvSpPr/>
      </xdr:nvSpPr>
      <xdr:spPr>
        <a:xfrm>
          <a:off x="33492" y="803867"/>
          <a:ext cx="762003" cy="3357825"/>
        </a:xfrm>
        <a:prstGeom prst="roundRect">
          <a:avLst>
            <a:gd name="adj" fmla="val 2846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465135</xdr:colOff>
      <xdr:row>4</xdr:row>
      <xdr:rowOff>85475</xdr:rowOff>
    </xdr:from>
    <xdr:to>
      <xdr:col>5</xdr:col>
      <xdr:colOff>594527</xdr:colOff>
      <xdr:row>9</xdr:row>
      <xdr:rowOff>125604</xdr:rowOff>
    </xdr:to>
    <xdr:sp macro="" textlink="">
      <xdr:nvSpPr>
        <xdr:cNvPr id="9" name="Rectangle: Rounded Corners 8">
          <a:extLst>
            <a:ext uri="{FF2B5EF4-FFF2-40B4-BE49-F238E27FC236}">
              <a16:creationId xmlns:a16="http://schemas.microsoft.com/office/drawing/2014/main" id="{D45ECBE9-A93B-03FB-1A2F-ACC0D7F59609}"/>
            </a:ext>
          </a:extLst>
        </xdr:cNvPr>
        <xdr:cNvSpPr/>
      </xdr:nvSpPr>
      <xdr:spPr>
        <a:xfrm>
          <a:off x="2300609" y="819665"/>
          <a:ext cx="1353042" cy="957866"/>
        </a:xfrm>
        <a:prstGeom prst="roundRect">
          <a:avLst>
            <a:gd name="adj" fmla="val 1162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259580</xdr:colOff>
      <xdr:row>4</xdr:row>
      <xdr:rowOff>66989</xdr:rowOff>
    </xdr:from>
    <xdr:to>
      <xdr:col>3</xdr:col>
      <xdr:colOff>284245</xdr:colOff>
      <xdr:row>9</xdr:row>
      <xdr:rowOff>107628</xdr:rowOff>
    </xdr:to>
    <xdr:sp macro="" textlink="">
      <xdr:nvSpPr>
        <xdr:cNvPr id="8" name="Rectangle: Rounded Corners 7">
          <a:extLst>
            <a:ext uri="{FF2B5EF4-FFF2-40B4-BE49-F238E27FC236}">
              <a16:creationId xmlns:a16="http://schemas.microsoft.com/office/drawing/2014/main" id="{0C60EAFE-7098-8DC3-5622-2D607D083761}"/>
            </a:ext>
          </a:extLst>
        </xdr:cNvPr>
        <xdr:cNvSpPr/>
      </xdr:nvSpPr>
      <xdr:spPr>
        <a:xfrm>
          <a:off x="871405" y="801179"/>
          <a:ext cx="1248314" cy="958376"/>
        </a:xfrm>
        <a:prstGeom prst="roundRect">
          <a:avLst>
            <a:gd name="adj" fmla="val 13379"/>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234461</xdr:colOff>
      <xdr:row>14</xdr:row>
      <xdr:rowOff>20052</xdr:rowOff>
    </xdr:from>
    <xdr:to>
      <xdr:col>8</xdr:col>
      <xdr:colOff>175845</xdr:colOff>
      <xdr:row>22</xdr:row>
      <xdr:rowOff>108857</xdr:rowOff>
    </xdr:to>
    <xdr:sp macro="" textlink="">
      <xdr:nvSpPr>
        <xdr:cNvPr id="14" name="Rectangle: Rounded Corners 13">
          <a:extLst>
            <a:ext uri="{FF2B5EF4-FFF2-40B4-BE49-F238E27FC236}">
              <a16:creationId xmlns:a16="http://schemas.microsoft.com/office/drawing/2014/main" id="{49EBC9CC-58BC-EE4D-C0C8-E38D4FB4EF18}"/>
            </a:ext>
          </a:extLst>
        </xdr:cNvPr>
        <xdr:cNvSpPr/>
      </xdr:nvSpPr>
      <xdr:spPr>
        <a:xfrm>
          <a:off x="844061" y="2580372"/>
          <a:ext cx="4208584" cy="1551845"/>
        </a:xfrm>
        <a:prstGeom prst="roundRect">
          <a:avLst>
            <a:gd name="adj" fmla="val 821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259581</xdr:colOff>
      <xdr:row>10</xdr:row>
      <xdr:rowOff>16809</xdr:rowOff>
    </xdr:from>
    <xdr:to>
      <xdr:col>8</xdr:col>
      <xdr:colOff>192591</xdr:colOff>
      <xdr:row>13</xdr:row>
      <xdr:rowOff>110289</xdr:rowOff>
    </xdr:to>
    <xdr:sp macro="" textlink="">
      <xdr:nvSpPr>
        <xdr:cNvPr id="15" name="Rectangle: Rounded Corners 14">
          <a:extLst>
            <a:ext uri="{FF2B5EF4-FFF2-40B4-BE49-F238E27FC236}">
              <a16:creationId xmlns:a16="http://schemas.microsoft.com/office/drawing/2014/main" id="{F1D89ED8-89C4-3C03-DF95-C548BEBCCFFC}"/>
            </a:ext>
          </a:extLst>
        </xdr:cNvPr>
        <xdr:cNvSpPr/>
      </xdr:nvSpPr>
      <xdr:spPr>
        <a:xfrm>
          <a:off x="871186" y="1821546"/>
          <a:ext cx="4214247" cy="634901"/>
        </a:xfrm>
        <a:prstGeom prst="roundRect">
          <a:avLst>
            <a:gd name="adj" fmla="val 1534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284700</xdr:colOff>
      <xdr:row>10</xdr:row>
      <xdr:rowOff>100484</xdr:rowOff>
    </xdr:from>
    <xdr:to>
      <xdr:col>13</xdr:col>
      <xdr:colOff>200966</xdr:colOff>
      <xdr:row>22</xdr:row>
      <xdr:rowOff>117231</xdr:rowOff>
    </xdr:to>
    <xdr:sp macro="" textlink="">
      <xdr:nvSpPr>
        <xdr:cNvPr id="16" name="Rectangle: Rounded Corners 15">
          <a:extLst>
            <a:ext uri="{FF2B5EF4-FFF2-40B4-BE49-F238E27FC236}">
              <a16:creationId xmlns:a16="http://schemas.microsoft.com/office/drawing/2014/main" id="{06525EC0-DE6D-C570-3C82-BBBA73D17D66}"/>
            </a:ext>
          </a:extLst>
        </xdr:cNvPr>
        <xdr:cNvSpPr/>
      </xdr:nvSpPr>
      <xdr:spPr>
        <a:xfrm>
          <a:off x="5174898" y="1942682"/>
          <a:ext cx="2972639" cy="2227384"/>
        </a:xfrm>
        <a:prstGeom prst="roundRect">
          <a:avLst>
            <a:gd name="adj" fmla="val 15657"/>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527538</xdr:colOff>
      <xdr:row>0</xdr:row>
      <xdr:rowOff>0</xdr:rowOff>
    </xdr:from>
    <xdr:to>
      <xdr:col>5</xdr:col>
      <xdr:colOff>485669</xdr:colOff>
      <xdr:row>3</xdr:row>
      <xdr:rowOff>0</xdr:rowOff>
    </xdr:to>
    <xdr:sp macro="" textlink="">
      <xdr:nvSpPr>
        <xdr:cNvPr id="17" name="TextBox 16">
          <a:extLst>
            <a:ext uri="{FF2B5EF4-FFF2-40B4-BE49-F238E27FC236}">
              <a16:creationId xmlns:a16="http://schemas.microsoft.com/office/drawing/2014/main" id="{8C9254DB-42ED-5435-9B38-797539E2EE00}"/>
            </a:ext>
          </a:extLst>
        </xdr:cNvPr>
        <xdr:cNvSpPr txBox="1"/>
      </xdr:nvSpPr>
      <xdr:spPr>
        <a:xfrm>
          <a:off x="527538" y="0"/>
          <a:ext cx="3014505" cy="552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Hospital Emergancy</a:t>
          </a:r>
          <a:r>
            <a:rPr lang="en-IN" sz="1400" b="0" baseline="0"/>
            <a:t> Room Dashboard</a:t>
          </a:r>
          <a:endParaRPr lang="en-IN" sz="1400" b="0"/>
        </a:p>
      </xdr:txBody>
    </xdr:sp>
    <xdr:clientData/>
  </xdr:twoCellAnchor>
  <xdr:twoCellAnchor editAs="oneCell">
    <xdr:from>
      <xdr:col>0</xdr:col>
      <xdr:colOff>1</xdr:colOff>
      <xdr:row>0</xdr:row>
      <xdr:rowOff>167472</xdr:rowOff>
    </xdr:from>
    <xdr:to>
      <xdr:col>1</xdr:col>
      <xdr:colOff>270736</xdr:colOff>
      <xdr:row>3</xdr:row>
      <xdr:rowOff>150726</xdr:rowOff>
    </xdr:to>
    <xdr:pic>
      <xdr:nvPicPr>
        <xdr:cNvPr id="19" name="Picture 18">
          <a:extLst>
            <a:ext uri="{FF2B5EF4-FFF2-40B4-BE49-F238E27FC236}">
              <a16:creationId xmlns:a16="http://schemas.microsoft.com/office/drawing/2014/main" id="{D9A52AD5-E700-4B66-1DFC-098C11A22D1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89" t="3333" r="-4435"/>
        <a:stretch>
          <a:fillRect/>
        </a:stretch>
      </xdr:blipFill>
      <xdr:spPr>
        <a:xfrm>
          <a:off x="1" y="167472"/>
          <a:ext cx="882010" cy="535913"/>
        </a:xfrm>
        <a:prstGeom prst="rect">
          <a:avLst/>
        </a:prstGeom>
      </xdr:spPr>
    </xdr:pic>
    <xdr:clientData/>
  </xdr:twoCellAnchor>
  <xdr:twoCellAnchor editAs="absolute">
    <xdr:from>
      <xdr:col>1</xdr:col>
      <xdr:colOff>234461</xdr:colOff>
      <xdr:row>2</xdr:row>
      <xdr:rowOff>25121</xdr:rowOff>
    </xdr:from>
    <xdr:to>
      <xdr:col>4</xdr:col>
      <xdr:colOff>527538</xdr:colOff>
      <xdr:row>3</xdr:row>
      <xdr:rowOff>117232</xdr:rowOff>
    </xdr:to>
    <xdr:sp macro="" textlink="">
      <xdr:nvSpPr>
        <xdr:cNvPr id="21" name="TextBox 20">
          <a:extLst>
            <a:ext uri="{FF2B5EF4-FFF2-40B4-BE49-F238E27FC236}">
              <a16:creationId xmlns:a16="http://schemas.microsoft.com/office/drawing/2014/main" id="{8BE11361-3727-8707-C5EC-3BF147BAC83F}"/>
            </a:ext>
          </a:extLst>
        </xdr:cNvPr>
        <xdr:cNvSpPr txBox="1"/>
      </xdr:nvSpPr>
      <xdr:spPr>
        <a:xfrm>
          <a:off x="845736" y="393561"/>
          <a:ext cx="2126901"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Monthly</a:t>
          </a:r>
          <a:r>
            <a:rPr lang="en-IN" sz="1400" b="0" baseline="0"/>
            <a:t> Report</a:t>
          </a:r>
          <a:endParaRPr lang="en-IN" sz="1400" b="0"/>
        </a:p>
      </xdr:txBody>
    </xdr:sp>
    <xdr:clientData/>
  </xdr:twoCellAnchor>
  <xdr:twoCellAnchor editAs="absolute">
    <xdr:from>
      <xdr:col>1</xdr:col>
      <xdr:colOff>242834</xdr:colOff>
      <xdr:row>5</xdr:row>
      <xdr:rowOff>150725</xdr:rowOff>
    </xdr:from>
    <xdr:to>
      <xdr:col>3</xdr:col>
      <xdr:colOff>276329</xdr:colOff>
      <xdr:row>7</xdr:row>
      <xdr:rowOff>58616</xdr:rowOff>
    </xdr:to>
    <xdr:sp macro="" textlink="">
      <xdr:nvSpPr>
        <xdr:cNvPr id="22" name="TextBox 21">
          <a:extLst>
            <a:ext uri="{FF2B5EF4-FFF2-40B4-BE49-F238E27FC236}">
              <a16:creationId xmlns:a16="http://schemas.microsoft.com/office/drawing/2014/main" id="{8E30D19D-2F83-5A59-B931-A7448A211772}"/>
            </a:ext>
          </a:extLst>
        </xdr:cNvPr>
        <xdr:cNvSpPr txBox="1"/>
      </xdr:nvSpPr>
      <xdr:spPr>
        <a:xfrm>
          <a:off x="854109" y="1071824"/>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0"/>
            <a:t>No.</a:t>
          </a:r>
          <a:r>
            <a:rPr lang="en-IN" sz="1400" b="0" baseline="0"/>
            <a:t> of patient</a:t>
          </a:r>
          <a:endParaRPr lang="en-IN" sz="1400" b="0"/>
        </a:p>
      </xdr:txBody>
    </xdr:sp>
    <xdr:clientData/>
  </xdr:twoCellAnchor>
  <xdr:twoCellAnchor editAs="absolute">
    <xdr:from>
      <xdr:col>1</xdr:col>
      <xdr:colOff>259582</xdr:colOff>
      <xdr:row>4</xdr:row>
      <xdr:rowOff>108859</xdr:rowOff>
    </xdr:from>
    <xdr:to>
      <xdr:col>3</xdr:col>
      <xdr:colOff>293077</xdr:colOff>
      <xdr:row>6</xdr:row>
      <xdr:rowOff>16749</xdr:rowOff>
    </xdr:to>
    <xdr:sp macro="" textlink="'Pivot report'!A5">
      <xdr:nvSpPr>
        <xdr:cNvPr id="23" name="TextBox 22">
          <a:extLst>
            <a:ext uri="{FF2B5EF4-FFF2-40B4-BE49-F238E27FC236}">
              <a16:creationId xmlns:a16="http://schemas.microsoft.com/office/drawing/2014/main" id="{7DB98300-FD8D-F74F-FFE8-E60607E8FEFB}"/>
            </a:ext>
          </a:extLst>
        </xdr:cNvPr>
        <xdr:cNvSpPr txBox="1"/>
      </xdr:nvSpPr>
      <xdr:spPr>
        <a:xfrm>
          <a:off x="870857" y="845738"/>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CF454D5-4D9D-4DB2-BFBD-104410B10C77}" type="TxLink">
            <a:rPr lang="en-US" sz="1100" b="0" i="0" u="none" strike="noStrike">
              <a:solidFill>
                <a:srgbClr val="000000"/>
              </a:solidFill>
              <a:latin typeface="Aptos Narrow"/>
            </a:rPr>
            <a:pPr algn="ctr"/>
            <a:t>485</a:t>
          </a:fld>
          <a:endParaRPr lang="en-IN" sz="1400" b="0"/>
        </a:p>
      </xdr:txBody>
    </xdr:sp>
    <xdr:clientData/>
  </xdr:twoCellAnchor>
  <xdr:twoCellAnchor editAs="absolute">
    <xdr:from>
      <xdr:col>6</xdr:col>
      <xdr:colOff>71758</xdr:colOff>
      <xdr:row>4</xdr:row>
      <xdr:rowOff>85596</xdr:rowOff>
    </xdr:from>
    <xdr:to>
      <xdr:col>8</xdr:col>
      <xdr:colOff>116802</xdr:colOff>
      <xdr:row>9</xdr:row>
      <xdr:rowOff>100117</xdr:rowOff>
    </xdr:to>
    <xdr:sp macro="" textlink="">
      <xdr:nvSpPr>
        <xdr:cNvPr id="33" name="Rectangle: Rounded Corners 32">
          <a:extLst>
            <a:ext uri="{FF2B5EF4-FFF2-40B4-BE49-F238E27FC236}">
              <a16:creationId xmlns:a16="http://schemas.microsoft.com/office/drawing/2014/main" id="{B15CBB19-9127-A14D-E700-0FE7641D74EA}"/>
            </a:ext>
          </a:extLst>
        </xdr:cNvPr>
        <xdr:cNvSpPr/>
      </xdr:nvSpPr>
      <xdr:spPr>
        <a:xfrm>
          <a:off x="3742707" y="819786"/>
          <a:ext cx="1268694" cy="932258"/>
        </a:xfrm>
        <a:prstGeom prst="roundRect">
          <a:avLst>
            <a:gd name="adj" fmla="val 127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460551</xdr:colOff>
      <xdr:row>5</xdr:row>
      <xdr:rowOff>100483</xdr:rowOff>
    </xdr:from>
    <xdr:to>
      <xdr:col>5</xdr:col>
      <xdr:colOff>586153</xdr:colOff>
      <xdr:row>7</xdr:row>
      <xdr:rowOff>8374</xdr:rowOff>
    </xdr:to>
    <xdr:sp macro="" textlink="">
      <xdr:nvSpPr>
        <xdr:cNvPr id="34" name="TextBox 33">
          <a:extLst>
            <a:ext uri="{FF2B5EF4-FFF2-40B4-BE49-F238E27FC236}">
              <a16:creationId xmlns:a16="http://schemas.microsoft.com/office/drawing/2014/main" id="{46048018-B20F-F321-89D6-3A6E7E068A7E}"/>
            </a:ext>
          </a:extLst>
        </xdr:cNvPr>
        <xdr:cNvSpPr txBox="1"/>
      </xdr:nvSpPr>
      <xdr:spPr>
        <a:xfrm>
          <a:off x="2294375" y="1021582"/>
          <a:ext cx="1348152"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Average</a:t>
          </a:r>
          <a:r>
            <a:rPr lang="en-IN" sz="1100" b="0" baseline="0"/>
            <a:t> Wait Time</a:t>
          </a:r>
          <a:endParaRPr lang="en-IN" sz="1100" b="0"/>
        </a:p>
      </xdr:txBody>
    </xdr:sp>
    <xdr:clientData/>
  </xdr:twoCellAnchor>
  <xdr:twoCellAnchor editAs="absolute">
    <xdr:from>
      <xdr:col>3</xdr:col>
      <xdr:colOff>510792</xdr:colOff>
      <xdr:row>4</xdr:row>
      <xdr:rowOff>92110</xdr:rowOff>
    </xdr:from>
    <xdr:to>
      <xdr:col>5</xdr:col>
      <xdr:colOff>544286</xdr:colOff>
      <xdr:row>6</xdr:row>
      <xdr:rowOff>0</xdr:rowOff>
    </xdr:to>
    <xdr:sp macro="" textlink="'Pivot report'!A9">
      <xdr:nvSpPr>
        <xdr:cNvPr id="35" name="TextBox 34">
          <a:extLst>
            <a:ext uri="{FF2B5EF4-FFF2-40B4-BE49-F238E27FC236}">
              <a16:creationId xmlns:a16="http://schemas.microsoft.com/office/drawing/2014/main" id="{5414E0D0-4995-051B-60C9-3EAFCCF2915E}"/>
            </a:ext>
          </a:extLst>
        </xdr:cNvPr>
        <xdr:cNvSpPr txBox="1"/>
      </xdr:nvSpPr>
      <xdr:spPr>
        <a:xfrm>
          <a:off x="2344616" y="828989"/>
          <a:ext cx="1256044" cy="27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C9E9323-FB1E-406C-9888-8A915FDCC325}" type="TxLink">
            <a:rPr lang="en-US" sz="1100" b="0" i="0" u="none" strike="noStrike">
              <a:solidFill>
                <a:srgbClr val="000000"/>
              </a:solidFill>
              <a:latin typeface="Aptos Narrow"/>
            </a:rPr>
            <a:pPr algn="ctr"/>
            <a:t>35.51</a:t>
          </a:fld>
          <a:endParaRPr lang="en-IN" sz="1400" b="0"/>
        </a:p>
      </xdr:txBody>
    </xdr:sp>
    <xdr:clientData/>
  </xdr:twoCellAnchor>
  <xdr:twoCellAnchor editAs="absolute">
    <xdr:from>
      <xdr:col>8</xdr:col>
      <xdr:colOff>389773</xdr:colOff>
      <xdr:row>4</xdr:row>
      <xdr:rowOff>152463</xdr:rowOff>
    </xdr:from>
    <xdr:to>
      <xdr:col>10</xdr:col>
      <xdr:colOff>519166</xdr:colOff>
      <xdr:row>10</xdr:row>
      <xdr:rowOff>8372</xdr:rowOff>
    </xdr:to>
    <xdr:sp macro="" textlink="">
      <xdr:nvSpPr>
        <xdr:cNvPr id="36" name="Rectangle: Rounded Corners 35">
          <a:extLst>
            <a:ext uri="{FF2B5EF4-FFF2-40B4-BE49-F238E27FC236}">
              <a16:creationId xmlns:a16="http://schemas.microsoft.com/office/drawing/2014/main" id="{459A28BC-BF86-584C-6BD8-EB49181E8C55}"/>
            </a:ext>
          </a:extLst>
        </xdr:cNvPr>
        <xdr:cNvSpPr/>
      </xdr:nvSpPr>
      <xdr:spPr>
        <a:xfrm>
          <a:off x="5279971" y="889342"/>
          <a:ext cx="1351942" cy="961228"/>
        </a:xfrm>
        <a:prstGeom prst="roundRect">
          <a:avLst>
            <a:gd name="adj" fmla="val 28468"/>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61182</xdr:colOff>
      <xdr:row>5</xdr:row>
      <xdr:rowOff>133978</xdr:rowOff>
    </xdr:from>
    <xdr:to>
      <xdr:col>8</xdr:col>
      <xdr:colOff>116802</xdr:colOff>
      <xdr:row>7</xdr:row>
      <xdr:rowOff>41869</xdr:rowOff>
    </xdr:to>
    <xdr:sp macro="" textlink="">
      <xdr:nvSpPr>
        <xdr:cNvPr id="37" name="TextBox 36">
          <a:extLst>
            <a:ext uri="{FF2B5EF4-FFF2-40B4-BE49-F238E27FC236}">
              <a16:creationId xmlns:a16="http://schemas.microsoft.com/office/drawing/2014/main" id="{08CB7EA9-BBF8-3A67-A6D9-44AB365F7F4A}"/>
            </a:ext>
          </a:extLst>
        </xdr:cNvPr>
        <xdr:cNvSpPr txBox="1"/>
      </xdr:nvSpPr>
      <xdr:spPr>
        <a:xfrm>
          <a:off x="3732131" y="1051715"/>
          <a:ext cx="1279270" cy="274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baseline="0"/>
            <a:t>Patient Satisfacation Score</a:t>
          </a:r>
          <a:endParaRPr lang="en-IN" sz="900" b="0"/>
        </a:p>
      </xdr:txBody>
    </xdr:sp>
    <xdr:clientData/>
  </xdr:twoCellAnchor>
  <xdr:twoCellAnchor editAs="absolute">
    <xdr:from>
      <xdr:col>5</xdr:col>
      <xdr:colOff>606507</xdr:colOff>
      <xdr:row>4</xdr:row>
      <xdr:rowOff>103235</xdr:rowOff>
    </xdr:from>
    <xdr:to>
      <xdr:col>8</xdr:col>
      <xdr:colOff>28176</xdr:colOff>
      <xdr:row>6</xdr:row>
      <xdr:rowOff>11125</xdr:rowOff>
    </xdr:to>
    <xdr:sp macro="" textlink="'Pivot report'!A13">
      <xdr:nvSpPr>
        <xdr:cNvPr id="38" name="TextBox 37">
          <a:extLst>
            <a:ext uri="{FF2B5EF4-FFF2-40B4-BE49-F238E27FC236}">
              <a16:creationId xmlns:a16="http://schemas.microsoft.com/office/drawing/2014/main" id="{1D237223-FDEB-F989-6D1B-699CC6F3E6B5}"/>
            </a:ext>
          </a:extLst>
        </xdr:cNvPr>
        <xdr:cNvSpPr txBox="1"/>
      </xdr:nvSpPr>
      <xdr:spPr>
        <a:xfrm>
          <a:off x="3665631" y="837425"/>
          <a:ext cx="1257144" cy="274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0607A8D-7AE3-445E-B4CB-C8D8A36A743F}" type="TxLink">
            <a:rPr lang="en-US" sz="1100" b="0" i="0" u="none" strike="noStrike">
              <a:solidFill>
                <a:srgbClr val="000000"/>
              </a:solidFill>
              <a:latin typeface="Aptos Narrow"/>
            </a:rPr>
            <a:pPr algn="ctr"/>
            <a:t>4.71</a:t>
          </a:fld>
          <a:endParaRPr lang="en-IN" sz="1400" b="0"/>
        </a:p>
      </xdr:txBody>
    </xdr:sp>
    <xdr:clientData/>
  </xdr:twoCellAnchor>
  <xdr:twoCellAnchor editAs="oneCell">
    <xdr:from>
      <xdr:col>2</xdr:col>
      <xdr:colOff>502420</xdr:colOff>
      <xdr:row>4</xdr:row>
      <xdr:rowOff>66990</xdr:rowOff>
    </xdr:from>
    <xdr:to>
      <xdr:col>3</xdr:col>
      <xdr:colOff>192595</xdr:colOff>
      <xdr:row>6</xdr:row>
      <xdr:rowOff>0</xdr:rowOff>
    </xdr:to>
    <xdr:pic>
      <xdr:nvPicPr>
        <xdr:cNvPr id="40" name="Graphic 39" descr="Employee badge with solid fill">
          <a:extLst>
            <a:ext uri="{FF2B5EF4-FFF2-40B4-BE49-F238E27FC236}">
              <a16:creationId xmlns:a16="http://schemas.microsoft.com/office/drawing/2014/main" id="{49C735FC-862D-F14D-93CA-803F4B97CD5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4969" y="803869"/>
          <a:ext cx="301450" cy="301450"/>
        </a:xfrm>
        <a:prstGeom prst="rect">
          <a:avLst/>
        </a:prstGeom>
      </xdr:spPr>
    </xdr:pic>
    <xdr:clientData/>
  </xdr:twoCellAnchor>
  <xdr:twoCellAnchor editAs="oneCell">
    <xdr:from>
      <xdr:col>0</xdr:col>
      <xdr:colOff>94554</xdr:colOff>
      <xdr:row>4</xdr:row>
      <xdr:rowOff>177986</xdr:rowOff>
    </xdr:from>
    <xdr:to>
      <xdr:col>1</xdr:col>
      <xdr:colOff>116802</xdr:colOff>
      <xdr:row>22</xdr:row>
      <xdr:rowOff>27811</xdr:rowOff>
    </xdr:to>
    <mc:AlternateContent xmlns:mc="http://schemas.openxmlformats.org/markup-compatibility/2006" xmlns:a14="http://schemas.microsoft.com/office/drawing/2010/main">
      <mc:Choice Requires="a14">
        <xdr:graphicFrame macro="">
          <xdr:nvGraphicFramePr>
            <xdr:cNvPr id="45" name="Date (Month) 1">
              <a:extLst>
                <a:ext uri="{FF2B5EF4-FFF2-40B4-BE49-F238E27FC236}">
                  <a16:creationId xmlns:a16="http://schemas.microsoft.com/office/drawing/2014/main" id="{C53B16B8-362E-403B-992E-36D5E40460D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4554" y="905867"/>
              <a:ext cx="630711" cy="3125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200967</xdr:colOff>
      <xdr:row>4</xdr:row>
      <xdr:rowOff>100484</xdr:rowOff>
    </xdr:from>
    <xdr:to>
      <xdr:col>5</xdr:col>
      <xdr:colOff>443802</xdr:colOff>
      <xdr:row>5</xdr:row>
      <xdr:rowOff>159099</xdr:rowOff>
    </xdr:to>
    <xdr:pic>
      <xdr:nvPicPr>
        <xdr:cNvPr id="42" name="Graphic 41" descr="Hourglass Finished with solid fill">
          <a:extLst>
            <a:ext uri="{FF2B5EF4-FFF2-40B4-BE49-F238E27FC236}">
              <a16:creationId xmlns:a16="http://schemas.microsoft.com/office/drawing/2014/main" id="{95E68E08-BAF6-7F3D-E601-8076230268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57341" y="837363"/>
          <a:ext cx="242835" cy="242835"/>
        </a:xfrm>
        <a:prstGeom prst="rect">
          <a:avLst/>
        </a:prstGeom>
      </xdr:spPr>
    </xdr:pic>
    <xdr:clientData/>
  </xdr:twoCellAnchor>
  <xdr:twoCellAnchor editAs="oneCell">
    <xdr:from>
      <xdr:col>7</xdr:col>
      <xdr:colOff>382560</xdr:colOff>
      <xdr:row>4</xdr:row>
      <xdr:rowOff>106046</xdr:rowOff>
    </xdr:from>
    <xdr:to>
      <xdr:col>8</xdr:col>
      <xdr:colOff>55988</xdr:colOff>
      <xdr:row>6</xdr:row>
      <xdr:rowOff>22309</xdr:rowOff>
    </xdr:to>
    <xdr:pic>
      <xdr:nvPicPr>
        <xdr:cNvPr id="44" name="Graphic 43" descr="Customer review with solid fill">
          <a:extLst>
            <a:ext uri="{FF2B5EF4-FFF2-40B4-BE49-F238E27FC236}">
              <a16:creationId xmlns:a16="http://schemas.microsoft.com/office/drawing/2014/main" id="{8EBE8937-F5D5-DAD6-F07D-64383E24F2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65334" y="840236"/>
          <a:ext cx="285253" cy="283358"/>
        </a:xfrm>
        <a:prstGeom prst="rect">
          <a:avLst/>
        </a:prstGeom>
      </xdr:spPr>
    </xdr:pic>
    <xdr:clientData/>
  </xdr:twoCellAnchor>
  <xdr:twoCellAnchor>
    <xdr:from>
      <xdr:col>1</xdr:col>
      <xdr:colOff>161602</xdr:colOff>
      <xdr:row>6</xdr:row>
      <xdr:rowOff>46025</xdr:rowOff>
    </xdr:from>
    <xdr:to>
      <xdr:col>3</xdr:col>
      <xdr:colOff>305912</xdr:colOff>
      <xdr:row>9</xdr:row>
      <xdr:rowOff>116803</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981A3CCC-E3E5-4380-AD24-50828A689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417153</xdr:colOff>
      <xdr:row>7</xdr:row>
      <xdr:rowOff>44497</xdr:rowOff>
    </xdr:from>
    <xdr:to>
      <xdr:col>6</xdr:col>
      <xdr:colOff>38934</xdr:colOff>
      <xdr:row>10</xdr:row>
      <xdr:rowOff>5563</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0FE2059D-04F2-431E-9891-FFFB1004B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603700</xdr:colOff>
      <xdr:row>6</xdr:row>
      <xdr:rowOff>39181</xdr:rowOff>
    </xdr:from>
    <xdr:to>
      <xdr:col>8</xdr:col>
      <xdr:colOff>169396</xdr:colOff>
      <xdr:row>9</xdr:row>
      <xdr:rowOff>111242</xdr:rowOff>
    </xdr:to>
    <xdr:graphicFrame macro="">
      <xdr:nvGraphicFramePr>
        <xdr:cNvPr id="49" name="Chart 48">
          <a:hlinkClick xmlns:r="http://schemas.openxmlformats.org/officeDocument/2006/relationships" r:id="rId12"/>
          <a:extLst>
            <a:ext uri="{FF2B5EF4-FFF2-40B4-BE49-F238E27FC236}">
              <a16:creationId xmlns:a16="http://schemas.microsoft.com/office/drawing/2014/main" id="{B22F55A7-B441-466F-A0A4-5DA8F3A83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236220</xdr:colOff>
          <xdr:row>9</xdr:row>
          <xdr:rowOff>167640</xdr:rowOff>
        </xdr:from>
        <xdr:to>
          <xdr:col>8</xdr:col>
          <xdr:colOff>175260</xdr:colOff>
          <xdr:row>13</xdr:row>
          <xdr:rowOff>129540</xdr:rowOff>
        </xdr:to>
        <xdr:pic>
          <xdr:nvPicPr>
            <xdr:cNvPr id="60" name="Picture 59">
              <a:extLst>
                <a:ext uri="{FF2B5EF4-FFF2-40B4-BE49-F238E27FC236}">
                  <a16:creationId xmlns:a16="http://schemas.microsoft.com/office/drawing/2014/main" id="{B853CFE1-A47A-2102-094F-95373A331C5E}"/>
                </a:ext>
              </a:extLst>
            </xdr:cNvPr>
            <xdr:cNvPicPr>
              <a:picLocks noChangeAspect="1" noChangeArrowheads="1"/>
              <a:extLst>
                <a:ext uri="{84589F7E-364E-4C9E-8A38-B11213B215E9}">
                  <a14:cameraTool cellRange="'Pivot report'!$A$45:$D$47" spid="_x0000_s2068"/>
                </a:ext>
              </a:extLst>
            </xdr:cNvPicPr>
          </xdr:nvPicPr>
          <xdr:blipFill>
            <a:blip xmlns:r="http://schemas.openxmlformats.org/officeDocument/2006/relationships" r:embed="rId14"/>
            <a:srcRect/>
            <a:stretch>
              <a:fillRect/>
            </a:stretch>
          </xdr:blipFill>
          <xdr:spPr bwMode="auto">
            <a:xfrm>
              <a:off x="845820" y="1813560"/>
              <a:ext cx="4206240" cy="6934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220980</xdr:colOff>
      <xdr:row>14</xdr:row>
      <xdr:rowOff>15240</xdr:rowOff>
    </xdr:from>
    <xdr:to>
      <xdr:col>8</xdr:col>
      <xdr:colOff>167640</xdr:colOff>
      <xdr:row>22</xdr:row>
      <xdr:rowOff>106680</xdr:rowOff>
    </xdr:to>
    <xdr:graphicFrame macro="">
      <xdr:nvGraphicFramePr>
        <xdr:cNvPr id="61" name="Chart 60">
          <a:extLst>
            <a:ext uri="{FF2B5EF4-FFF2-40B4-BE49-F238E27FC236}">
              <a16:creationId xmlns:a16="http://schemas.microsoft.com/office/drawing/2014/main" id="{B22EE610-573A-4881-92DB-2DE325FCF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281940</xdr:colOff>
      <xdr:row>0</xdr:row>
      <xdr:rowOff>68580</xdr:rowOff>
    </xdr:from>
    <xdr:to>
      <xdr:col>10</xdr:col>
      <xdr:colOff>525780</xdr:colOff>
      <xdr:row>10</xdr:row>
      <xdr:rowOff>0</xdr:rowOff>
    </xdr:to>
    <xdr:graphicFrame macro="">
      <xdr:nvGraphicFramePr>
        <xdr:cNvPr id="62" name="Chart 61">
          <a:extLst>
            <a:ext uri="{FF2B5EF4-FFF2-40B4-BE49-F238E27FC236}">
              <a16:creationId xmlns:a16="http://schemas.microsoft.com/office/drawing/2014/main" id="{7F78BE8C-5193-4C68-9052-7045A4D44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9896</xdr:colOff>
      <xdr:row>0</xdr:row>
      <xdr:rowOff>69273</xdr:rowOff>
    </xdr:from>
    <xdr:to>
      <xdr:col>13</xdr:col>
      <xdr:colOff>306779</xdr:colOff>
      <xdr:row>10</xdr:row>
      <xdr:rowOff>29689</xdr:rowOff>
    </xdr:to>
    <xdr:graphicFrame macro="">
      <xdr:nvGraphicFramePr>
        <xdr:cNvPr id="63" name="Chart 62">
          <a:extLst>
            <a:ext uri="{FF2B5EF4-FFF2-40B4-BE49-F238E27FC236}">
              <a16:creationId xmlns:a16="http://schemas.microsoft.com/office/drawing/2014/main" id="{DBE819F6-785C-4B8E-9BE3-15FDEE2B8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257299</xdr:colOff>
      <xdr:row>10</xdr:row>
      <xdr:rowOff>89066</xdr:rowOff>
    </xdr:from>
    <xdr:to>
      <xdr:col>13</xdr:col>
      <xdr:colOff>415637</xdr:colOff>
      <xdr:row>22</xdr:row>
      <xdr:rowOff>138546</xdr:rowOff>
    </xdr:to>
    <xdr:graphicFrame macro="">
      <xdr:nvGraphicFramePr>
        <xdr:cNvPr id="64" name="Chart 63">
          <a:extLst>
            <a:ext uri="{FF2B5EF4-FFF2-40B4-BE49-F238E27FC236}">
              <a16:creationId xmlns:a16="http://schemas.microsoft.com/office/drawing/2014/main" id="{2902C89F-6F70-4DC3-9F66-60E270C99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583870</xdr:colOff>
      <xdr:row>0</xdr:row>
      <xdr:rowOff>59377</xdr:rowOff>
    </xdr:from>
    <xdr:to>
      <xdr:col>8</xdr:col>
      <xdr:colOff>238836</xdr:colOff>
      <xdr:row>4</xdr:row>
      <xdr:rowOff>30858</xdr:rowOff>
    </xdr:to>
    <mc:AlternateContent xmlns:mc="http://schemas.openxmlformats.org/markup-compatibility/2006" xmlns:a14="http://schemas.microsoft.com/office/drawing/2010/main">
      <mc:Choice Requires="a14">
        <xdr:graphicFrame macro="">
          <xdr:nvGraphicFramePr>
            <xdr:cNvPr id="65" name="Date (Year)">
              <a:extLst>
                <a:ext uri="{FF2B5EF4-FFF2-40B4-BE49-F238E27FC236}">
                  <a16:creationId xmlns:a16="http://schemas.microsoft.com/office/drawing/2014/main" id="{18F8431E-DA52-45F7-A895-E212076CBB5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26183" y="59377"/>
              <a:ext cx="1480354" cy="699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259080</xdr:colOff>
      <xdr:row>5</xdr:row>
      <xdr:rowOff>0</xdr:rowOff>
    </xdr:from>
    <xdr:to>
      <xdr:col>16</xdr:col>
      <xdr:colOff>213360</xdr:colOff>
      <xdr:row>19</xdr:row>
      <xdr:rowOff>152400</xdr:rowOff>
    </xdr:to>
    <xdr:graphicFrame macro="">
      <xdr:nvGraphicFramePr>
        <xdr:cNvPr id="2" name="Chart 1">
          <a:extLst>
            <a:ext uri="{FF2B5EF4-FFF2-40B4-BE49-F238E27FC236}">
              <a16:creationId xmlns:a16="http://schemas.microsoft.com/office/drawing/2014/main" id="{5773F31C-E2C3-49B0-B834-AE57A04D0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457200</xdr:colOff>
      <xdr:row>5</xdr:row>
      <xdr:rowOff>160020</xdr:rowOff>
    </xdr:from>
    <xdr:to>
      <xdr:col>1</xdr:col>
      <xdr:colOff>411480</xdr:colOff>
      <xdr:row>8</xdr:row>
      <xdr:rowOff>175260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4C540A6-9AB0-6F17-A90F-A76FC31996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0" y="1074420"/>
          <a:ext cx="563880" cy="5638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160020</xdr:colOff>
      <xdr:row>4</xdr:row>
      <xdr:rowOff>121920</xdr:rowOff>
    </xdr:from>
    <xdr:to>
      <xdr:col>13</xdr:col>
      <xdr:colOff>205740</xdr:colOff>
      <xdr:row>19</xdr:row>
      <xdr:rowOff>99060</xdr:rowOff>
    </xdr:to>
    <xdr:graphicFrame macro="">
      <xdr:nvGraphicFramePr>
        <xdr:cNvPr id="2" name="Chart 1">
          <a:extLst>
            <a:ext uri="{FF2B5EF4-FFF2-40B4-BE49-F238E27FC236}">
              <a16:creationId xmlns:a16="http://schemas.microsoft.com/office/drawing/2014/main" id="{09C7F979-6EFB-431B-9627-8686D961B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0</xdr:row>
      <xdr:rowOff>121920</xdr:rowOff>
    </xdr:from>
    <xdr:to>
      <xdr:col>1</xdr:col>
      <xdr:colOff>152400</xdr:colOff>
      <xdr:row>3</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1C4BC80-0D58-C09C-5364-10B3F48838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880" y="121920"/>
          <a:ext cx="579120" cy="5791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379628" createdVersion="5" refreshedVersion="8" minRefreshableVersion="3" recordCount="0" supportSubquery="1" supportAdvancedDrill="1" xr:uid="{DF3ADEDA-13C0-4D8B-9138-C1E286CBF4F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726851" createdVersion="5" refreshedVersion="8" minRefreshableVersion="3" recordCount="0" supportSubquery="1" supportAdvancedDrill="1" xr:uid="{733300F9-F4D5-4197-9E17-6A8685DA7346}">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726851" createdVersion="5" refreshedVersion="8" minRefreshableVersion="3" recordCount="0" supportSubquery="1" supportAdvancedDrill="1" xr:uid="{6A15F1D1-9C6C-4AF8-9CFE-B6885547B1C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3958336" createdVersion="5" refreshedVersion="8" minRefreshableVersion="3" recordCount="0" supportSubquery="1" supportAdvancedDrill="1" xr:uid="{6EBDF255-A1AB-4762-9730-626C639B47D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4537036" createdVersion="5" refreshedVersion="8" minRefreshableVersion="3" recordCount="0" supportSubquery="1" supportAdvancedDrill="1" xr:uid="{18675E5B-C7C1-42F8-B0B7-386FC05B6016}">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115744" createdVersion="5" refreshedVersion="8" minRefreshableVersion="3" recordCount="0" supportSubquery="1" supportAdvancedDrill="1" xr:uid="{56695088-3B62-4F5A-A150-8B47F8788D0E}">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578706" createdVersion="5" refreshedVersion="8" minRefreshableVersion="3" recordCount="0" supportSubquery="1" supportAdvancedDrill="1" xr:uid="{68223405-2E18-4E38-8C84-670CCD2E4593}">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5925929" createdVersion="5" refreshedVersion="8" minRefreshableVersion="3" recordCount="0" supportSubquery="1" supportAdvancedDrill="1" xr:uid="{D61EF6CE-E3E4-426C-BBBA-E249098CBCF7}">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6273145" createdVersion="5" refreshedVersion="8" minRefreshableVersion="3" recordCount="0" supportSubquery="1" supportAdvancedDrill="1" xr:uid="{3E31CB0C-B09B-47C0-953A-48BF9AD7609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6736114" createdVersion="5" refreshedVersion="8" minRefreshableVersion="3" recordCount="0" supportSubquery="1" supportAdvancedDrill="1" xr:uid="{9271EDEE-B67D-434A-A287-E37A38789DF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45.47667708333" createdVersion="5" refreshedVersion="8" minRefreshableVersion="3" recordCount="0" supportSubquery="1" supportAdvancedDrill="1" xr:uid="{8F433912-8C9F-4461-BD89-D44E5ADF2F70}">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un.Singh583" refreshedDate="46104.999180555555" createdVersion="3" refreshedVersion="8" minRefreshableVersion="3" recordCount="0" supportSubquery="1" supportAdvancedDrill="1" xr:uid="{37B56A38-DB7F-40A6-B00F-7A2CE1659F7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1369853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8305E-0698-4C7F-AD70-A4BE52930B56}" name="PivotTable5" cacheId="191" applyNumberFormats="0" applyBorderFormats="0" applyFontFormats="0" applyPatternFormats="0" applyAlignmentFormats="0" applyWidthHeightFormats="1" dataCaption="Values" tag="e1bb3d31-956f-46b4-9698-b1d288e2812c" updatedVersion="8" minRefreshableVersion="3" subtotalHiddenItems="1" itemPrintTitles="1" createdVersion="5" indent="0" outline="1" outlineData="1" multipleFieldFilters="0" chartFormat="16">
  <location ref="G6:H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42">
      <pivotArea outline="0" collapsedLevelsAreSubtotals="1" fieldPosition="0"/>
    </format>
  </formats>
  <chartFormats count="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C0FE1-A238-4719-A1CB-7C94FA96A65A}" name="PivotTable7" cacheId="197" applyNumberFormats="0" applyBorderFormats="0" applyFontFormats="0" applyPatternFormats="0" applyAlignmentFormats="0" applyWidthHeightFormats="1" dataCaption="Values" tag="5c23e21b-cba3-40e5-b650-ec1b47b1e505" updatedVersion="8" minRefreshableVersion="3" subtotalHiddenItems="1" itemPrintTitles="1" createdVersion="5" indent="0" outline="1" outlineData="1" multipleFieldFilters="0" chartFormat="12">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5">
      <pivotArea outline="0" collapsedLevelsAreSubtotals="1" fieldPosition="0"/>
    </format>
    <format dxfId="44">
      <pivotArea outline="0" fieldPosition="0">
        <references count="1">
          <reference field="4294967294" count="1">
            <x v="1"/>
          </reference>
        </references>
      </pivotArea>
    </format>
    <format dxfId="43">
      <pivotArea collapsedLevelsAreSubtotals="1" fieldPosition="0">
        <references count="2">
          <reference field="4294967294" count="1" selected="0">
            <x v="1"/>
          </reference>
          <reference field="2" count="0"/>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50533-AD66-4B64-9EA6-C90246D7B12D}" name="PivotTable9" cacheId="203" applyNumberFormats="0" applyBorderFormats="0" applyFontFormats="0" applyPatternFormats="0" applyAlignmentFormats="0" applyWidthHeightFormats="1" dataCaption="Values" tag="95ec0f68-0e3a-4900-ad11-188967931cc0" updatedVersion="8" minRefreshableVersion="3" subtotalHiddenItems="1" itemPrintTitles="1" createdVersion="5" indent="0" outline="1" outlineData="1" multipleFieldFilters="0" chartFormat="25">
  <location ref="G47:H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4D044D-8606-4492-A1C8-86E1857F6295}" name="PivotTable1" cacheId="182" applyNumberFormats="0" applyBorderFormats="0" applyFontFormats="0" applyPatternFormats="0" applyAlignmentFormats="0" applyWidthHeightFormats="1" dataCaption="Values" tag="d03485cd-ace5-4b8f-ab58-277979ecd2e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BD3154-601D-49EC-A6FB-1B30E634877D}" name="PivotTable4" cacheId="179" applyNumberFormats="0" applyBorderFormats="0" applyFontFormats="0" applyPatternFormats="0" applyAlignmentFormats="0" applyWidthHeightFormats="1" dataCaption="Values" tag="09ea4023-88e2-407b-b28e-5a28c13f5a1d" updatedVersion="8" minRefreshableVersion="3" subtotalHiddenItems="1" itemPrintTitles="1" createdVersion="5" indent="0" outline="1" outlineData="1" multipleFieldFilters="0" chartFormat="17">
  <location ref="D5:E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3">
    <chartFormat chart="7"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60AA0-AE92-45CE-9629-9E290608A4EA}" name="PivotTable6" cacheId="194" applyNumberFormats="0" applyBorderFormats="0" applyFontFormats="0" applyPatternFormats="0" applyAlignmentFormats="0" applyWidthHeightFormats="1" dataCaption="Values" tag="dec33a99-5723-4fc7-a0b8-62a65e4907ff" updatedVersion="8" minRefreshableVersion="3" subtotalHiddenItems="1" itemPrintTitles="1" createdVersion="5" indent="0" outline="1" outlineData="1" multipleFieldFilters="0" chartFormat="16">
  <location ref="J5:K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46">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6DF48D-1F7E-4649-93B9-1AA7CE44E76D}" name="PivotTable3" cacheId="188" applyNumberFormats="0" applyBorderFormats="0" applyFontFormats="0" applyPatternFormats="0" applyAlignmentFormats="0" applyWidthHeightFormats="1" dataCaption="Values" tag="31e8ae40-2794-4489-af47-46cf66b3643b"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7">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9C1C8B-3E85-42FA-AE61-312783E00796}" name="PivotTable8" cacheId="200" applyNumberFormats="0" applyBorderFormats="0" applyFontFormats="0" applyPatternFormats="0" applyAlignmentFormats="0" applyWidthHeightFormats="1" dataCaption="Values" tag="3ab91ec7-0a69-4b4b-af5c-84a4b512897e" updatedVersion="8" minRefreshableVersion="3" subtotalHiddenItems="1" itemPrintTitles="1" createdVersion="5" indent="0" outline="1" outlineData="1" multipleFieldFilters="0" chartFormat="21">
  <location ref="G42:H4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D7ED1B-DA5D-47BB-866B-035A28E807BA}" name="PivotTable11" cacheId="209" applyNumberFormats="0" applyBorderFormats="0" applyFontFormats="0" applyPatternFormats="0" applyAlignmentFormats="0" applyWidthHeightFormats="1" dataCaption="Values" tag="416f4fd1-f701-431e-ae83-11c2f42dfde7" updatedVersion="8" minRefreshableVersion="3" subtotalHiddenItems="1" itemPrintTitles="1" createdVersion="5" indent="0" outline="1" outlineData="1" multipleFieldFilters="0" chartFormat="32">
  <location ref="G64:G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BE5B4A-5ACD-4C5B-8DB5-0D60FBB21940}" name="PivotTable2" cacheId="185" applyNumberFormats="0" applyBorderFormats="0" applyFontFormats="0" applyPatternFormats="0" applyAlignmentFormats="0" applyWidthHeightFormats="1" dataCaption="Values" tag="2a231d49-d58a-4765-a0eb-1f0f50b6e98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8">
      <pivotArea outline="0" collapsedLevelsAreSubtotals="1" fieldPosition="0"/>
    </format>
  </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74EC28-A9E7-472A-96A5-4A215F3DF435}" name="PivotTable10" cacheId="206" applyNumberFormats="0" applyBorderFormats="0" applyFontFormats="0" applyPatternFormats="0" applyAlignmentFormats="0" applyWidthHeightFormats="1" dataCaption="Values" tag="7b0c3dba-72c4-4d72-9d4c-0f3a8de4be0e" updatedVersion="8" minRefreshableVersion="3" subtotalHiddenItems="1" itemPrintTitles="1" createdVersion="5" indent="0" outline="1" outlineData="1" multipleFieldFilters="0" chartFormat="32">
  <location ref="G53:H6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3F0EC9D-60F2-4767-8B35-C8ED5B57F4C0}"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113698535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382FF63-127B-4800-8E36-BC8757E34979}" sourceName="[Calende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3698535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31B80A0-7AC5-4EB1-819C-AB6F744B6A25}" cache="Slicer_Date__Month" caption="Date (Month)"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96EA333-28C0-4685-9B65-3C6C88789FF5}" cache="Slicer_Date__Month" caption="Date (Month)" showCaption="0" level="1" style="My Style" rowHeight="216000"/>
  <slicer name="Date (Year)" xr10:uid="{89DAB770-667F-44AE-B30F-FABC2108DEA5}" cache="Slicer_Date__Year" caption="Date (Year)" columnCount="2" showCaption="0" level="1" style="My Style"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6331-7BED-4078-AD9C-4975E5D4E5BE}">
  <dimension ref="A3:K66"/>
  <sheetViews>
    <sheetView topLeftCell="E52" zoomScale="77" zoomScaleNormal="77" workbookViewId="0">
      <selection activeCell="O9" sqref="O9"/>
    </sheetView>
  </sheetViews>
  <sheetFormatPr defaultRowHeight="14.4" x14ac:dyDescent="0.3"/>
  <cols>
    <col min="1" max="1" width="23.33203125" bestFit="1" customWidth="1"/>
    <col min="2" max="2" width="14.5546875" customWidth="1"/>
    <col min="3" max="3" width="11.6640625" customWidth="1"/>
    <col min="4" max="4" width="12.5546875" customWidth="1"/>
    <col min="5" max="5" width="22.77734375" customWidth="1"/>
    <col min="6" max="6" width="10.77734375" customWidth="1"/>
    <col min="7" max="7" width="12.44140625" bestFit="1" customWidth="1"/>
    <col min="8" max="8" width="24.21875" bestFit="1" customWidth="1"/>
    <col min="9" max="9" width="12.109375" customWidth="1"/>
    <col min="10" max="10" width="12.44140625" bestFit="1" customWidth="1"/>
    <col min="11" max="11" width="23.33203125" bestFit="1" customWidth="1"/>
  </cols>
  <sheetData>
    <row r="3" spans="1:11" x14ac:dyDescent="0.3">
      <c r="A3" t="s">
        <v>2</v>
      </c>
    </row>
    <row r="4" spans="1:11" x14ac:dyDescent="0.3">
      <c r="A4" t="s">
        <v>1</v>
      </c>
      <c r="D4" t="s">
        <v>8</v>
      </c>
    </row>
    <row r="5" spans="1:11" x14ac:dyDescent="0.3">
      <c r="A5" s="14">
        <v>485</v>
      </c>
      <c r="D5" s="1" t="s">
        <v>5</v>
      </c>
      <c r="E5" t="s">
        <v>26</v>
      </c>
      <c r="H5" t="s">
        <v>9</v>
      </c>
      <c r="J5" s="1" t="s">
        <v>5</v>
      </c>
      <c r="K5" t="s">
        <v>4</v>
      </c>
    </row>
    <row r="6" spans="1:11" x14ac:dyDescent="0.3">
      <c r="D6" s="4" t="s">
        <v>18</v>
      </c>
      <c r="E6" s="14">
        <v>59</v>
      </c>
      <c r="G6" s="1" t="s">
        <v>5</v>
      </c>
      <c r="H6" t="s">
        <v>3</v>
      </c>
      <c r="J6" s="4" t="s">
        <v>43</v>
      </c>
      <c r="K6" s="2">
        <v>4.75</v>
      </c>
    </row>
    <row r="7" spans="1:11" x14ac:dyDescent="0.3">
      <c r="D7" s="4" t="s">
        <v>19</v>
      </c>
      <c r="E7" s="14">
        <v>55</v>
      </c>
      <c r="G7" s="4" t="s">
        <v>43</v>
      </c>
      <c r="H7" s="2">
        <v>33.352941176470587</v>
      </c>
      <c r="J7" s="4" t="s">
        <v>44</v>
      </c>
      <c r="K7" s="2">
        <v>5.2</v>
      </c>
    </row>
    <row r="8" spans="1:11" x14ac:dyDescent="0.3">
      <c r="A8" t="s">
        <v>3</v>
      </c>
      <c r="D8" s="4" t="s">
        <v>20</v>
      </c>
      <c r="E8" s="14">
        <v>69</v>
      </c>
      <c r="G8" s="4" t="s">
        <v>44</v>
      </c>
      <c r="H8" s="2">
        <v>38.4</v>
      </c>
      <c r="J8" s="4" t="s">
        <v>45</v>
      </c>
      <c r="K8" s="2">
        <v>3.375</v>
      </c>
    </row>
    <row r="9" spans="1:11" x14ac:dyDescent="0.3">
      <c r="A9" s="2">
        <v>35.507216494845359</v>
      </c>
      <c r="D9" s="4" t="s">
        <v>21</v>
      </c>
      <c r="E9" s="14">
        <v>64</v>
      </c>
      <c r="G9" s="4" t="s">
        <v>45</v>
      </c>
      <c r="H9" s="2">
        <v>38.521739130434781</v>
      </c>
      <c r="J9" s="4" t="s">
        <v>46</v>
      </c>
      <c r="K9" s="2">
        <v>5.8</v>
      </c>
    </row>
    <row r="10" spans="1:11" x14ac:dyDescent="0.3">
      <c r="D10" s="4" t="s">
        <v>22</v>
      </c>
      <c r="E10" s="14">
        <v>56</v>
      </c>
      <c r="G10" s="4" t="s">
        <v>46</v>
      </c>
      <c r="H10" s="2">
        <v>30.4</v>
      </c>
      <c r="J10" s="4" t="s">
        <v>47</v>
      </c>
      <c r="K10" s="2">
        <v>4.375</v>
      </c>
    </row>
    <row r="11" spans="1:11" x14ac:dyDescent="0.3">
      <c r="D11" s="4" t="s">
        <v>23</v>
      </c>
      <c r="E11" s="14">
        <v>60</v>
      </c>
      <c r="G11" s="4" t="s">
        <v>47</v>
      </c>
      <c r="H11" s="2">
        <v>33.142857142857146</v>
      </c>
      <c r="J11" s="4" t="s">
        <v>48</v>
      </c>
      <c r="K11" s="2">
        <v>3</v>
      </c>
    </row>
    <row r="12" spans="1:11" x14ac:dyDescent="0.3">
      <c r="A12" t="s">
        <v>4</v>
      </c>
      <c r="D12" s="4" t="s">
        <v>24</v>
      </c>
      <c r="E12" s="14">
        <v>51</v>
      </c>
      <c r="G12" s="4" t="s">
        <v>48</v>
      </c>
      <c r="H12" s="2">
        <v>38.18181818181818</v>
      </c>
      <c r="J12" s="4" t="s">
        <v>49</v>
      </c>
      <c r="K12" s="2">
        <v>5</v>
      </c>
    </row>
    <row r="13" spans="1:11" x14ac:dyDescent="0.3">
      <c r="A13" s="2">
        <v>4.7092198581560281</v>
      </c>
      <c r="D13" s="4" t="s">
        <v>25</v>
      </c>
      <c r="E13" s="14">
        <v>71</v>
      </c>
      <c r="G13" s="4" t="s">
        <v>49</v>
      </c>
      <c r="H13" s="2">
        <v>39.733333333333334</v>
      </c>
      <c r="J13" s="4" t="s">
        <v>50</v>
      </c>
      <c r="K13" s="2">
        <v>3</v>
      </c>
    </row>
    <row r="14" spans="1:11" x14ac:dyDescent="0.3">
      <c r="D14" s="4" t="s">
        <v>6</v>
      </c>
      <c r="E14" s="14">
        <v>485</v>
      </c>
      <c r="G14" s="4" t="s">
        <v>50</v>
      </c>
      <c r="H14" s="2">
        <v>37</v>
      </c>
      <c r="J14" s="4" t="s">
        <v>51</v>
      </c>
      <c r="K14" s="2">
        <v>4.9090909090909092</v>
      </c>
    </row>
    <row r="15" spans="1:11" x14ac:dyDescent="0.3">
      <c r="G15" s="4" t="s">
        <v>51</v>
      </c>
      <c r="H15" s="2">
        <v>35.61904761904762</v>
      </c>
      <c r="J15" s="4" t="s">
        <v>52</v>
      </c>
      <c r="K15" s="2">
        <v>3.8333333333333335</v>
      </c>
    </row>
    <row r="16" spans="1:11" x14ac:dyDescent="0.3">
      <c r="G16" s="4" t="s">
        <v>52</v>
      </c>
      <c r="H16" s="2">
        <v>34.176470588235297</v>
      </c>
      <c r="J16" s="4" t="s">
        <v>53</v>
      </c>
      <c r="K16" s="2">
        <v>3.875</v>
      </c>
    </row>
    <row r="17" spans="7:11" x14ac:dyDescent="0.3">
      <c r="G17" s="4" t="s">
        <v>53</v>
      </c>
      <c r="H17" s="2">
        <v>37.176470588235297</v>
      </c>
      <c r="J17" s="4" t="s">
        <v>54</v>
      </c>
      <c r="K17" s="2">
        <v>4.333333333333333</v>
      </c>
    </row>
    <row r="18" spans="7:11" x14ac:dyDescent="0.3">
      <c r="G18" s="4" t="s">
        <v>54</v>
      </c>
      <c r="H18" s="2">
        <v>36.647058823529413</v>
      </c>
      <c r="J18" s="4" t="s">
        <v>55</v>
      </c>
      <c r="K18" s="2">
        <v>3.5</v>
      </c>
    </row>
    <row r="19" spans="7:11" x14ac:dyDescent="0.3">
      <c r="G19" s="4" t="s">
        <v>55</v>
      </c>
      <c r="H19" s="2">
        <v>34.941176470588232</v>
      </c>
      <c r="J19" s="4" t="s">
        <v>56</v>
      </c>
      <c r="K19" s="2">
        <v>5.4</v>
      </c>
    </row>
    <row r="20" spans="7:11" x14ac:dyDescent="0.3">
      <c r="G20" s="4" t="s">
        <v>56</v>
      </c>
      <c r="H20" s="2">
        <v>44</v>
      </c>
      <c r="J20" s="4" t="s">
        <v>57</v>
      </c>
      <c r="K20" s="2">
        <v>5.375</v>
      </c>
    </row>
    <row r="21" spans="7:11" x14ac:dyDescent="0.3">
      <c r="G21" s="4" t="s">
        <v>57</v>
      </c>
      <c r="H21" s="2">
        <v>38.913043478260867</v>
      </c>
      <c r="J21" s="4" t="s">
        <v>58</v>
      </c>
      <c r="K21" s="2">
        <v>3.3333333333333335</v>
      </c>
    </row>
    <row r="22" spans="7:11" x14ac:dyDescent="0.3">
      <c r="G22" s="4" t="s">
        <v>58</v>
      </c>
      <c r="H22" s="2">
        <v>31</v>
      </c>
      <c r="J22" s="4" t="s">
        <v>59</v>
      </c>
      <c r="K22" s="2">
        <v>6.2</v>
      </c>
    </row>
    <row r="23" spans="7:11" x14ac:dyDescent="0.3">
      <c r="G23" s="4" t="s">
        <v>59</v>
      </c>
      <c r="H23" s="2">
        <v>34.227272727272727</v>
      </c>
      <c r="J23" s="4" t="s">
        <v>60</v>
      </c>
      <c r="K23" s="2">
        <v>1.6666666666666667</v>
      </c>
    </row>
    <row r="24" spans="7:11" x14ac:dyDescent="0.3">
      <c r="G24" s="4" t="s">
        <v>60</v>
      </c>
      <c r="H24" s="2">
        <v>31</v>
      </c>
      <c r="J24" s="4" t="s">
        <v>61</v>
      </c>
      <c r="K24" s="2">
        <v>4.5</v>
      </c>
    </row>
    <row r="25" spans="7:11" x14ac:dyDescent="0.3">
      <c r="G25" s="4" t="s">
        <v>61</v>
      </c>
      <c r="H25" s="2">
        <v>32.153846153846153</v>
      </c>
      <c r="J25" s="4" t="s">
        <v>62</v>
      </c>
      <c r="K25" s="2">
        <v>7.666666666666667</v>
      </c>
    </row>
    <row r="26" spans="7:11" x14ac:dyDescent="0.3">
      <c r="G26" s="4" t="s">
        <v>62</v>
      </c>
      <c r="H26" s="2">
        <v>32.785714285714285</v>
      </c>
      <c r="J26" s="4" t="s">
        <v>63</v>
      </c>
      <c r="K26" s="2">
        <v>4.4000000000000004</v>
      </c>
    </row>
    <row r="27" spans="7:11" x14ac:dyDescent="0.3">
      <c r="G27" s="4" t="s">
        <v>63</v>
      </c>
      <c r="H27" s="2">
        <v>30</v>
      </c>
      <c r="J27" s="4" t="s">
        <v>64</v>
      </c>
      <c r="K27" s="2">
        <v>6.5</v>
      </c>
    </row>
    <row r="28" spans="7:11" x14ac:dyDescent="0.3">
      <c r="G28" s="4" t="s">
        <v>64</v>
      </c>
      <c r="H28" s="2">
        <v>33.5</v>
      </c>
      <c r="J28" s="4" t="s">
        <v>65</v>
      </c>
      <c r="K28" s="2">
        <v>5</v>
      </c>
    </row>
    <row r="29" spans="7:11" x14ac:dyDescent="0.3">
      <c r="G29" s="4" t="s">
        <v>65</v>
      </c>
      <c r="H29" s="2">
        <v>32.950000000000003</v>
      </c>
      <c r="J29" s="4" t="s">
        <v>66</v>
      </c>
      <c r="K29" s="2">
        <v>5.25</v>
      </c>
    </row>
    <row r="30" spans="7:11" x14ac:dyDescent="0.3">
      <c r="G30" s="4" t="s">
        <v>66</v>
      </c>
      <c r="H30" s="2">
        <v>35.842105263157897</v>
      </c>
      <c r="J30" s="4" t="s">
        <v>67</v>
      </c>
      <c r="K30" s="2">
        <v>4.75</v>
      </c>
    </row>
    <row r="31" spans="7:11" x14ac:dyDescent="0.3">
      <c r="G31" s="4" t="s">
        <v>67</v>
      </c>
      <c r="H31" s="2">
        <v>33.846153846153847</v>
      </c>
      <c r="J31" s="4" t="s">
        <v>68</v>
      </c>
      <c r="K31" s="2">
        <v>5</v>
      </c>
    </row>
    <row r="32" spans="7:11" x14ac:dyDescent="0.3">
      <c r="G32" s="4" t="s">
        <v>68</v>
      </c>
      <c r="H32" s="2">
        <v>39.06666666666667</v>
      </c>
      <c r="J32" s="4" t="s">
        <v>69</v>
      </c>
      <c r="K32" s="2">
        <v>4</v>
      </c>
    </row>
    <row r="33" spans="1:11" x14ac:dyDescent="0.3">
      <c r="G33" s="4" t="s">
        <v>69</v>
      </c>
      <c r="H33" s="2">
        <v>36.684210526315788</v>
      </c>
      <c r="J33" s="4" t="s">
        <v>70</v>
      </c>
      <c r="K33" s="2">
        <v>5.333333333333333</v>
      </c>
    </row>
    <row r="34" spans="1:11" x14ac:dyDescent="0.3">
      <c r="G34" s="4" t="s">
        <v>70</v>
      </c>
      <c r="H34" s="2">
        <v>33.764705882352942</v>
      </c>
      <c r="J34" s="4" t="s">
        <v>71</v>
      </c>
      <c r="K34" s="2">
        <v>6</v>
      </c>
    </row>
    <row r="35" spans="1:11" x14ac:dyDescent="0.3">
      <c r="G35" s="4" t="s">
        <v>71</v>
      </c>
      <c r="H35" s="2">
        <v>34.533333333333331</v>
      </c>
      <c r="J35" s="4" t="s">
        <v>72</v>
      </c>
      <c r="K35" s="2">
        <v>6.333333333333333</v>
      </c>
    </row>
    <row r="36" spans="1:11" x14ac:dyDescent="0.3">
      <c r="G36" s="4" t="s">
        <v>72</v>
      </c>
      <c r="H36" s="2">
        <v>42.125</v>
      </c>
      <c r="J36" s="4" t="s">
        <v>6</v>
      </c>
      <c r="K36" s="2">
        <v>4.7092198581560281</v>
      </c>
    </row>
    <row r="37" spans="1:11" x14ac:dyDescent="0.3">
      <c r="G37" s="4" t="s">
        <v>6</v>
      </c>
      <c r="H37" s="2">
        <v>35.507216494845359</v>
      </c>
    </row>
    <row r="38" spans="1:11" x14ac:dyDescent="0.3">
      <c r="A38" s="1" t="s">
        <v>5</v>
      </c>
      <c r="B38" t="s">
        <v>11</v>
      </c>
      <c r="C38" t="s">
        <v>14</v>
      </c>
    </row>
    <row r="39" spans="1:11" x14ac:dyDescent="0.3">
      <c r="A39" s="4" t="s">
        <v>12</v>
      </c>
      <c r="B39" s="7">
        <v>235</v>
      </c>
      <c r="C39" s="10">
        <v>0.4845360824742268</v>
      </c>
    </row>
    <row r="40" spans="1:11" x14ac:dyDescent="0.3">
      <c r="A40" s="4" t="s">
        <v>13</v>
      </c>
      <c r="B40" s="7">
        <v>250</v>
      </c>
      <c r="C40" s="10">
        <v>0.51546391752577314</v>
      </c>
    </row>
    <row r="41" spans="1:11" x14ac:dyDescent="0.3">
      <c r="A41" s="4" t="s">
        <v>6</v>
      </c>
      <c r="B41" s="7">
        <v>485</v>
      </c>
      <c r="C41" s="8">
        <v>1</v>
      </c>
      <c r="G41" t="s">
        <v>29</v>
      </c>
    </row>
    <row r="42" spans="1:11" x14ac:dyDescent="0.3">
      <c r="G42" s="1" t="s">
        <v>5</v>
      </c>
      <c r="H42" t="s">
        <v>0</v>
      </c>
    </row>
    <row r="43" spans="1:11" x14ac:dyDescent="0.3">
      <c r="G43" s="4" t="s">
        <v>28</v>
      </c>
      <c r="H43" s="14">
        <v>297</v>
      </c>
    </row>
    <row r="44" spans="1:11" x14ac:dyDescent="0.3">
      <c r="G44" s="4" t="s">
        <v>27</v>
      </c>
      <c r="H44" s="14">
        <v>188</v>
      </c>
    </row>
    <row r="45" spans="1:11" ht="15.6" x14ac:dyDescent="0.3">
      <c r="A45" s="11" t="s">
        <v>15</v>
      </c>
      <c r="B45" s="11" t="s">
        <v>17</v>
      </c>
      <c r="C45" s="11" t="s">
        <v>16</v>
      </c>
      <c r="G45" s="4" t="s">
        <v>6</v>
      </c>
      <c r="H45" s="14">
        <v>485</v>
      </c>
    </row>
    <row r="46" spans="1:11" ht="18" customHeight="1" x14ac:dyDescent="0.3">
      <c r="A46" s="12" t="str">
        <f>A40</f>
        <v>Not Admitted</v>
      </c>
      <c r="B46" s="12">
        <f t="shared" ref="B46:C46" si="0">B40</f>
        <v>250</v>
      </c>
      <c r="C46" s="13">
        <f t="shared" si="0"/>
        <v>0.51546391752577314</v>
      </c>
      <c r="G46" s="4" t="s">
        <v>33</v>
      </c>
    </row>
    <row r="47" spans="1:11" ht="16.8" customHeight="1" x14ac:dyDescent="0.3">
      <c r="A47" s="12" t="str">
        <f>A39</f>
        <v>Admitted</v>
      </c>
      <c r="B47" s="12">
        <f t="shared" ref="B47:C47" si="1">B39</f>
        <v>235</v>
      </c>
      <c r="C47" s="13">
        <f t="shared" si="1"/>
        <v>0.4845360824742268</v>
      </c>
      <c r="G47" s="1" t="s">
        <v>5</v>
      </c>
      <c r="H47" t="s">
        <v>32</v>
      </c>
    </row>
    <row r="48" spans="1:11" x14ac:dyDescent="0.3">
      <c r="G48" s="4" t="s">
        <v>30</v>
      </c>
      <c r="H48" s="14">
        <v>239</v>
      </c>
    </row>
    <row r="49" spans="3:8" x14ac:dyDescent="0.3">
      <c r="G49" s="4" t="s">
        <v>31</v>
      </c>
      <c r="H49" s="14">
        <v>246</v>
      </c>
    </row>
    <row r="50" spans="3:8" x14ac:dyDescent="0.3">
      <c r="C50" s="9"/>
      <c r="G50" s="4" t="s">
        <v>6</v>
      </c>
      <c r="H50" s="14">
        <v>485</v>
      </c>
    </row>
    <row r="53" spans="3:8" x14ac:dyDescent="0.3">
      <c r="G53" s="1" t="s">
        <v>5</v>
      </c>
      <c r="H53" t="s">
        <v>42</v>
      </c>
    </row>
    <row r="54" spans="3:8" x14ac:dyDescent="0.3">
      <c r="G54" s="4" t="s">
        <v>41</v>
      </c>
      <c r="H54" s="14">
        <v>2</v>
      </c>
    </row>
    <row r="55" spans="3:8" x14ac:dyDescent="0.3">
      <c r="G55" s="4" t="s">
        <v>40</v>
      </c>
      <c r="H55" s="14">
        <v>11</v>
      </c>
    </row>
    <row r="56" spans="3:8" x14ac:dyDescent="0.3">
      <c r="G56" s="4" t="s">
        <v>37</v>
      </c>
      <c r="H56" s="14">
        <v>12</v>
      </c>
    </row>
    <row r="57" spans="3:8" x14ac:dyDescent="0.3">
      <c r="G57" s="4" t="s">
        <v>35</v>
      </c>
      <c r="H57" s="14">
        <v>12</v>
      </c>
    </row>
    <row r="58" spans="3:8" x14ac:dyDescent="0.3">
      <c r="G58" s="4" t="s">
        <v>34</v>
      </c>
      <c r="H58" s="14">
        <v>13</v>
      </c>
    </row>
    <row r="59" spans="3:8" x14ac:dyDescent="0.3">
      <c r="G59" s="4" t="s">
        <v>39</v>
      </c>
      <c r="H59" s="14">
        <v>53</v>
      </c>
    </row>
    <row r="60" spans="3:8" x14ac:dyDescent="0.3">
      <c r="G60" s="4" t="s">
        <v>36</v>
      </c>
      <c r="H60" s="14">
        <v>91</v>
      </c>
    </row>
    <row r="61" spans="3:8" x14ac:dyDescent="0.3">
      <c r="G61" s="4" t="s">
        <v>38</v>
      </c>
      <c r="H61" s="14">
        <v>291</v>
      </c>
    </row>
    <row r="62" spans="3:8" x14ac:dyDescent="0.3">
      <c r="G62" s="4" t="s">
        <v>6</v>
      </c>
      <c r="H62" s="14">
        <v>485</v>
      </c>
    </row>
    <row r="64" spans="3:8" x14ac:dyDescent="0.3">
      <c r="G64" s="1" t="s">
        <v>5</v>
      </c>
    </row>
    <row r="65" spans="7:7" x14ac:dyDescent="0.3">
      <c r="G65" s="4" t="s">
        <v>7</v>
      </c>
    </row>
    <row r="66" spans="7:7" x14ac:dyDescent="0.3">
      <c r="G66" s="4" t="s">
        <v>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9E4E-8A64-4906-918A-3E88872585F5}">
  <dimension ref="A1:V38"/>
  <sheetViews>
    <sheetView zoomScale="67" zoomScaleNormal="67"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A21" s="5"/>
      <c r="B21" s="5"/>
      <c r="C21" s="5"/>
      <c r="D21" s="5"/>
      <c r="E21" s="5"/>
      <c r="F21" s="5"/>
      <c r="G21" s="5"/>
      <c r="H21" s="5"/>
      <c r="I21" s="5"/>
      <c r="J21" s="5"/>
      <c r="K21" s="5"/>
      <c r="L21" s="5"/>
      <c r="M21" s="5"/>
      <c r="N21" s="5"/>
      <c r="O21" s="5"/>
      <c r="P21" s="5"/>
      <c r="Q21" s="5"/>
      <c r="R21" s="5"/>
      <c r="S21" s="5"/>
      <c r="T21" s="5"/>
      <c r="U21" s="5"/>
      <c r="V21" s="5"/>
    </row>
    <row r="22" spans="1:22" x14ac:dyDescent="0.3">
      <c r="A22" s="5"/>
      <c r="B22" s="5"/>
      <c r="C22" s="5"/>
      <c r="D22" s="5"/>
      <c r="E22" s="5"/>
      <c r="F22" s="5"/>
      <c r="G22" s="5"/>
      <c r="H22" s="5"/>
      <c r="I22" s="5"/>
      <c r="J22" s="5"/>
      <c r="K22" s="5"/>
      <c r="L22" s="5"/>
      <c r="M22" s="5"/>
      <c r="N22" s="5"/>
      <c r="O22" s="5"/>
      <c r="P22" s="5"/>
      <c r="Q22" s="5"/>
      <c r="R22" s="5"/>
      <c r="S22" s="5"/>
      <c r="T22" s="5"/>
      <c r="U22" s="5"/>
      <c r="V22" s="5"/>
    </row>
    <row r="23" spans="1:22" x14ac:dyDescent="0.3">
      <c r="A23" s="5"/>
      <c r="B23" s="5"/>
      <c r="C23" s="5"/>
      <c r="D23" s="5"/>
      <c r="E23" s="5"/>
      <c r="F23" s="5"/>
      <c r="G23" s="5"/>
      <c r="H23" s="5"/>
      <c r="I23" s="5"/>
      <c r="J23" s="5"/>
      <c r="K23" s="5"/>
      <c r="L23" s="5"/>
      <c r="M23" s="5"/>
      <c r="N23" s="5"/>
      <c r="O23" s="5"/>
      <c r="P23" s="5"/>
      <c r="Q23" s="5"/>
      <c r="R23" s="5"/>
      <c r="S23" s="5"/>
      <c r="T23" s="5"/>
      <c r="U23" s="5"/>
      <c r="V23" s="5"/>
    </row>
    <row r="24" spans="1:22" x14ac:dyDescent="0.3">
      <c r="A24" s="5"/>
      <c r="B24" s="5"/>
      <c r="C24" s="5"/>
      <c r="D24" s="5"/>
      <c r="E24" s="5"/>
      <c r="F24" s="5"/>
      <c r="G24" s="5"/>
      <c r="H24" s="5"/>
      <c r="I24" s="5"/>
      <c r="J24" s="5"/>
      <c r="K24" s="5"/>
      <c r="L24" s="5"/>
      <c r="M24" s="5"/>
      <c r="N24" s="5"/>
      <c r="O24" s="5"/>
      <c r="P24" s="5"/>
      <c r="Q24" s="5"/>
      <c r="R24" s="5"/>
      <c r="S24" s="5"/>
      <c r="T24" s="5"/>
      <c r="U24" s="5"/>
      <c r="V24" s="5"/>
    </row>
    <row r="25" spans="1:22" x14ac:dyDescent="0.3">
      <c r="A25" s="5"/>
      <c r="B25" s="5"/>
      <c r="C25" s="5"/>
      <c r="D25" s="5"/>
      <c r="E25" s="5"/>
      <c r="F25" s="5"/>
      <c r="G25" s="5"/>
      <c r="H25" s="5"/>
      <c r="I25" s="5"/>
      <c r="J25" s="5"/>
      <c r="K25" s="5"/>
      <c r="L25" s="5"/>
      <c r="M25" s="5"/>
      <c r="N25" s="5"/>
      <c r="O25" s="5"/>
      <c r="P25" s="5"/>
      <c r="Q25" s="5"/>
      <c r="R25" s="5"/>
      <c r="S25" s="5"/>
      <c r="T25" s="5"/>
      <c r="U25" s="5"/>
      <c r="V25" s="5"/>
    </row>
    <row r="26" spans="1:22" x14ac:dyDescent="0.3">
      <c r="A26" s="5"/>
      <c r="B26" s="5"/>
      <c r="C26" s="5"/>
      <c r="D26" s="5"/>
      <c r="E26" s="5"/>
      <c r="F26" s="5"/>
      <c r="G26" s="5"/>
      <c r="H26" s="5"/>
      <c r="I26" s="5"/>
      <c r="J26" s="5"/>
      <c r="K26" s="5"/>
      <c r="L26" s="5"/>
      <c r="M26" s="5"/>
      <c r="N26" s="5"/>
      <c r="O26" s="5"/>
      <c r="P26" s="5"/>
      <c r="Q26" s="5"/>
      <c r="R26" s="5"/>
      <c r="S26" s="5"/>
      <c r="T26" s="5"/>
      <c r="U26" s="5"/>
      <c r="V26" s="5"/>
    </row>
    <row r="27" spans="1:22" x14ac:dyDescent="0.3">
      <c r="A27" s="5"/>
      <c r="B27" s="5"/>
      <c r="C27" s="5"/>
      <c r="D27" s="5"/>
      <c r="E27" s="5"/>
      <c r="F27" s="5"/>
      <c r="G27" s="5"/>
      <c r="H27" s="5"/>
      <c r="I27" s="5"/>
      <c r="J27" s="5"/>
      <c r="K27" s="5"/>
      <c r="L27" s="5"/>
      <c r="M27" s="5"/>
      <c r="N27" s="5"/>
      <c r="O27" s="5"/>
      <c r="P27" s="5"/>
      <c r="Q27" s="5"/>
      <c r="R27" s="5"/>
      <c r="S27" s="5"/>
      <c r="T27" s="5"/>
      <c r="U27" s="5"/>
      <c r="V27" s="5"/>
    </row>
    <row r="28" spans="1:22" x14ac:dyDescent="0.3">
      <c r="A28" s="5"/>
      <c r="B28" s="5"/>
      <c r="C28" s="5"/>
      <c r="D28" s="5"/>
      <c r="E28" s="5"/>
      <c r="F28" s="5"/>
      <c r="G28" s="5"/>
      <c r="H28" s="5"/>
      <c r="I28" s="5"/>
      <c r="J28" s="5"/>
      <c r="K28" s="5"/>
      <c r="L28" s="5"/>
      <c r="M28" s="5"/>
      <c r="N28" s="5"/>
      <c r="O28" s="5"/>
      <c r="P28" s="5"/>
      <c r="Q28" s="5"/>
      <c r="R28" s="5"/>
      <c r="S28" s="5"/>
      <c r="T28" s="5"/>
      <c r="U28" s="5"/>
      <c r="V28" s="5"/>
    </row>
    <row r="29" spans="1:22" x14ac:dyDescent="0.3">
      <c r="A29" s="5"/>
      <c r="B29" s="5"/>
      <c r="C29" s="5"/>
      <c r="D29" s="5"/>
      <c r="E29" s="5"/>
      <c r="F29" s="5"/>
      <c r="G29" s="5"/>
      <c r="H29" s="5"/>
      <c r="I29" s="5"/>
      <c r="J29" s="5"/>
      <c r="K29" s="5"/>
      <c r="L29" s="5"/>
      <c r="M29" s="5"/>
      <c r="N29" s="5"/>
      <c r="O29" s="5"/>
      <c r="P29" s="5"/>
      <c r="Q29" s="5"/>
      <c r="R29" s="5"/>
      <c r="S29" s="5"/>
      <c r="T29" s="5"/>
      <c r="U29" s="5"/>
      <c r="V29" s="5"/>
    </row>
    <row r="30" spans="1:22" x14ac:dyDescent="0.3">
      <c r="A30" s="5"/>
      <c r="B30" s="5"/>
      <c r="C30" s="5"/>
      <c r="D30" s="5"/>
      <c r="E30" s="5"/>
      <c r="F30" s="5"/>
      <c r="G30" s="5"/>
      <c r="H30" s="5"/>
      <c r="I30" s="5"/>
      <c r="J30" s="5"/>
      <c r="K30" s="5"/>
      <c r="L30" s="5"/>
      <c r="M30" s="5"/>
      <c r="N30" s="5"/>
      <c r="O30" s="5"/>
      <c r="P30" s="5"/>
      <c r="Q30" s="5"/>
      <c r="R30" s="5"/>
      <c r="S30" s="5"/>
      <c r="T30" s="5"/>
      <c r="U30" s="5"/>
      <c r="V30" s="5"/>
    </row>
    <row r="31" spans="1:22" x14ac:dyDescent="0.3">
      <c r="A31" s="5"/>
      <c r="B31" s="5"/>
      <c r="C31" s="5"/>
      <c r="D31" s="5"/>
      <c r="E31" s="5"/>
      <c r="F31" s="5"/>
      <c r="G31" s="5"/>
      <c r="H31" s="5"/>
      <c r="I31" s="5"/>
      <c r="J31" s="5"/>
      <c r="K31" s="5"/>
      <c r="L31" s="5"/>
      <c r="M31" s="5"/>
      <c r="N31" s="5"/>
      <c r="O31" s="5"/>
      <c r="P31" s="5"/>
      <c r="Q31" s="5"/>
      <c r="R31" s="5"/>
      <c r="S31" s="5"/>
      <c r="T31" s="5"/>
      <c r="U31" s="5"/>
      <c r="V31" s="5"/>
    </row>
    <row r="32" spans="1:22" x14ac:dyDescent="0.3">
      <c r="A32" s="5"/>
      <c r="B32" s="5"/>
      <c r="C32" s="5"/>
      <c r="D32" s="5"/>
      <c r="E32" s="5"/>
      <c r="F32" s="5"/>
      <c r="G32" s="5"/>
      <c r="H32" s="5"/>
      <c r="I32" s="5"/>
      <c r="J32" s="5"/>
      <c r="K32" s="5"/>
      <c r="L32" s="5"/>
      <c r="M32" s="5"/>
      <c r="N32" s="5"/>
      <c r="O32" s="5"/>
      <c r="P32" s="5"/>
      <c r="Q32" s="5"/>
      <c r="R32" s="5"/>
      <c r="S32" s="5"/>
      <c r="T32" s="5"/>
      <c r="U32" s="5"/>
      <c r="V32" s="5"/>
    </row>
    <row r="33" spans="1:22" x14ac:dyDescent="0.3">
      <c r="A33" s="5"/>
      <c r="B33" s="5"/>
      <c r="C33" s="5"/>
      <c r="D33" s="5"/>
      <c r="E33" s="5"/>
      <c r="F33" s="5"/>
      <c r="G33" s="5"/>
      <c r="H33" s="5"/>
      <c r="I33" s="5"/>
      <c r="J33" s="5"/>
      <c r="K33" s="5"/>
      <c r="L33" s="5"/>
      <c r="M33" s="5"/>
      <c r="N33" s="5"/>
      <c r="O33" s="5"/>
      <c r="P33" s="5"/>
      <c r="Q33" s="5"/>
      <c r="R33" s="5"/>
      <c r="S33" s="5"/>
      <c r="T33" s="5"/>
      <c r="U33" s="5"/>
      <c r="V33" s="5"/>
    </row>
    <row r="34" spans="1:22" x14ac:dyDescent="0.3">
      <c r="A34" s="5"/>
      <c r="B34" s="5"/>
      <c r="C34" s="5"/>
      <c r="D34" s="5"/>
      <c r="E34" s="5"/>
      <c r="F34" s="5"/>
      <c r="G34" s="5"/>
      <c r="H34" s="5"/>
      <c r="I34" s="5"/>
      <c r="J34" s="5"/>
      <c r="K34" s="5"/>
      <c r="L34" s="5"/>
      <c r="M34" s="5"/>
      <c r="N34" s="5"/>
      <c r="O34" s="5"/>
      <c r="P34" s="5"/>
      <c r="Q34" s="5"/>
      <c r="R34" s="5"/>
      <c r="S34" s="5"/>
      <c r="T34" s="5"/>
      <c r="U34" s="5"/>
      <c r="V34" s="5"/>
    </row>
    <row r="35" spans="1:22" x14ac:dyDescent="0.3">
      <c r="A35" s="5"/>
      <c r="B35" s="5"/>
      <c r="C35" s="5"/>
      <c r="D35" s="5"/>
      <c r="E35" s="5"/>
      <c r="F35" s="5"/>
      <c r="G35" s="5"/>
      <c r="H35" s="5"/>
      <c r="I35" s="5"/>
      <c r="J35" s="5"/>
      <c r="K35" s="5"/>
      <c r="L35" s="5"/>
      <c r="M35" s="5"/>
      <c r="N35" s="5"/>
      <c r="O35" s="5"/>
      <c r="P35" s="5"/>
      <c r="Q35" s="5"/>
      <c r="R35" s="5"/>
      <c r="S35" s="5"/>
      <c r="T35" s="5"/>
      <c r="U35" s="5"/>
      <c r="V35" s="5"/>
    </row>
    <row r="36" spans="1:22" x14ac:dyDescent="0.3">
      <c r="A36" s="5"/>
      <c r="B36" s="5"/>
      <c r="C36" s="5"/>
      <c r="D36" s="5"/>
      <c r="E36" s="5"/>
      <c r="F36" s="5"/>
      <c r="G36" s="5"/>
      <c r="H36" s="5"/>
      <c r="I36" s="5"/>
      <c r="J36" s="5"/>
      <c r="K36" s="5"/>
      <c r="L36" s="5"/>
      <c r="M36" s="5"/>
      <c r="N36" s="5"/>
      <c r="O36" s="5"/>
      <c r="P36" s="5"/>
      <c r="Q36" s="5"/>
      <c r="R36" s="5"/>
      <c r="S36" s="5"/>
      <c r="T36" s="5"/>
      <c r="U36" s="5"/>
      <c r="V36" s="5"/>
    </row>
    <row r="37" spans="1:22" x14ac:dyDescent="0.3">
      <c r="A37" s="5"/>
      <c r="B37" s="5"/>
      <c r="C37" s="5"/>
      <c r="D37" s="5"/>
      <c r="E37" s="5"/>
      <c r="F37" s="5"/>
      <c r="G37" s="5"/>
      <c r="H37" s="5"/>
      <c r="I37" s="5"/>
      <c r="J37" s="5"/>
      <c r="K37" s="5"/>
      <c r="L37" s="5"/>
      <c r="M37" s="5"/>
      <c r="N37" s="5"/>
      <c r="O37" s="5"/>
      <c r="P37" s="5"/>
      <c r="Q37" s="5"/>
      <c r="R37" s="5"/>
      <c r="S37" s="5"/>
      <c r="T37" s="5"/>
      <c r="U37" s="5"/>
      <c r="V37" s="5"/>
    </row>
    <row r="38" spans="1:22" x14ac:dyDescent="0.3">
      <c r="A38" s="5"/>
      <c r="B38" s="5"/>
      <c r="C38" s="5"/>
      <c r="D38" s="5"/>
      <c r="E38" s="5"/>
      <c r="F38" s="5"/>
      <c r="G38" s="5"/>
      <c r="H38" s="5"/>
      <c r="I38" s="5"/>
      <c r="J38" s="5"/>
      <c r="K38" s="5"/>
      <c r="L38" s="5"/>
      <c r="M38" s="5"/>
      <c r="N38" s="5"/>
      <c r="O38" s="5"/>
      <c r="P38" s="5"/>
      <c r="Q38" s="5"/>
      <c r="R38" s="5"/>
      <c r="S38" s="5"/>
      <c r="T38" s="5"/>
      <c r="U38" s="5"/>
      <c r="V38"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150C5-0753-48C6-A4C8-5C00EC4D18D1}">
  <dimension ref="A1:N23"/>
  <sheetViews>
    <sheetView tabSelected="1" zoomScale="134" zoomScaleNormal="134"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x14ac:dyDescent="0.3">
      <c r="A22" s="3"/>
      <c r="B22" s="3"/>
      <c r="C22" s="3"/>
      <c r="D22" s="3"/>
      <c r="E22" s="3"/>
      <c r="F22" s="3"/>
      <c r="G22" s="3"/>
      <c r="H22" s="3"/>
      <c r="I22" s="3"/>
      <c r="J22" s="3"/>
      <c r="K22" s="3"/>
      <c r="L22" s="3"/>
      <c r="M22" s="3"/>
      <c r="N22" s="3"/>
    </row>
    <row r="23" spans="1:14" x14ac:dyDescent="0.3">
      <c r="A23" s="3"/>
      <c r="B23" s="3"/>
      <c r="C23" s="3"/>
      <c r="D23" s="3"/>
      <c r="E23" s="3"/>
      <c r="F23" s="3"/>
      <c r="G23" s="3"/>
      <c r="H23" s="3"/>
      <c r="I23" s="3"/>
      <c r="J23" s="3"/>
      <c r="K23" s="3"/>
      <c r="L23" s="3"/>
      <c r="M23" s="3"/>
      <c r="N23"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7653-8A23-4891-9643-EF627916D3FA}">
  <dimension ref="A1:Q25"/>
  <sheetViews>
    <sheetView zoomScale="74" zoomScaleNormal="74" workbookViewId="0"/>
  </sheetViews>
  <sheetFormatPr defaultRowHeight="14.4" x14ac:dyDescent="0.3"/>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x14ac:dyDescent="0.3">
      <c r="A17" s="5"/>
      <c r="B17" s="5"/>
      <c r="C17" s="5"/>
      <c r="D17" s="5"/>
      <c r="E17" s="5"/>
      <c r="F17" s="5"/>
      <c r="G17" s="5"/>
      <c r="H17" s="5"/>
      <c r="I17" s="5"/>
      <c r="J17" s="5"/>
      <c r="K17" s="5"/>
      <c r="L17" s="5"/>
      <c r="M17" s="5"/>
      <c r="N17" s="5"/>
      <c r="O17" s="5"/>
      <c r="P17" s="5"/>
      <c r="Q17" s="5"/>
    </row>
    <row r="18" spans="1:17" x14ac:dyDescent="0.3">
      <c r="A18" s="5"/>
      <c r="B18" s="5"/>
      <c r="C18" s="5"/>
      <c r="D18" s="5"/>
      <c r="E18" s="5"/>
      <c r="F18" s="5"/>
      <c r="G18" s="5"/>
      <c r="H18" s="5"/>
      <c r="I18" s="5"/>
      <c r="J18" s="5"/>
      <c r="K18" s="5"/>
      <c r="L18" s="5"/>
      <c r="M18" s="5"/>
      <c r="N18" s="5"/>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6" t="s">
        <v>10</v>
      </c>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EEDA-D39D-465B-AD48-378016E16BA1}">
  <dimension ref="A1:N24"/>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8F5E27B-7C1A-45F8-A964-8F04C185C278}">
  <ds:schemaRefs/>
</ds:datastoreItem>
</file>

<file path=customXml/itemProps2.xml><?xml version="1.0" encoding="utf-8"?>
<ds:datastoreItem xmlns:ds="http://schemas.openxmlformats.org/officeDocument/2006/customXml" ds:itemID="{53640DB7-FBA9-44D9-B918-F2714F048807}">
  <ds:schemaRefs/>
</ds:datastoreItem>
</file>

<file path=customXml/itemProps3.xml><?xml version="1.0" encoding="utf-8"?>
<ds:datastoreItem xmlns:ds="http://schemas.openxmlformats.org/officeDocument/2006/customXml" ds:itemID="{85CD2C61-3099-463C-B80B-73425D102D2C}">
  <ds:schemaRefs/>
</ds:datastoreItem>
</file>

<file path=customXml/itemProps4.xml><?xml version="1.0" encoding="utf-8"?>
<ds:datastoreItem xmlns:ds="http://schemas.openxmlformats.org/officeDocument/2006/customXml" ds:itemID="{C55EA0B5-A723-46DB-B541-EE5BE20E375C}">
  <ds:schemaRefs/>
</ds:datastoreItem>
</file>

<file path=customXml/itemProps5.xml><?xml version="1.0" encoding="utf-8"?>
<ds:datastoreItem xmlns:ds="http://schemas.openxmlformats.org/officeDocument/2006/customXml" ds:itemID="{CAE3750B-701F-4C38-9BE6-9AB4CB9D2DBC}">
  <ds:schemaRefs/>
</ds:datastoreItem>
</file>

<file path=customXml/itemProps6.xml><?xml version="1.0" encoding="utf-8"?>
<ds:datastoreItem xmlns:ds="http://schemas.openxmlformats.org/officeDocument/2006/customXml" ds:itemID="{E4577D45-FF82-467F-86A5-80243BFF1144}">
  <ds:schemaRefs/>
</ds:datastoreItem>
</file>

<file path=customXml/itemProps7.xml><?xml version="1.0" encoding="utf-8"?>
<ds:datastoreItem xmlns:ds="http://schemas.openxmlformats.org/officeDocument/2006/customXml" ds:itemID="{DBA01157-524A-406A-B85F-99F79C156EC4}">
  <ds:schemaRefs/>
</ds:datastoreItem>
</file>

<file path=customXml/itemProps8.xml><?xml version="1.0" encoding="utf-8"?>
<ds:datastoreItem xmlns:ds="http://schemas.openxmlformats.org/officeDocument/2006/customXml" ds:itemID="{AED6008E-67F1-428A-8DB2-11A40CBC4D38}">
  <ds:schemaRefs/>
</ds:datastoreItem>
</file>

<file path=customXml/itemProps9.xml><?xml version="1.0" encoding="utf-8"?>
<ds:datastoreItem xmlns:ds="http://schemas.openxmlformats.org/officeDocument/2006/customXml" ds:itemID="{785D1752-FE82-4933-86D8-EB17E563FAC3}">
  <ds:schemaRefs/>
</ds:datastoreItem>
</file>

<file path=customXml/itemProps10.xml><?xml version="1.0" encoding="utf-8"?>
<ds:datastoreItem xmlns:ds="http://schemas.openxmlformats.org/officeDocument/2006/customXml" ds:itemID="{19E65E1F-F3FD-4D98-A971-43D1BD21C341}">
  <ds:schemaRefs/>
</ds:datastoreItem>
</file>

<file path=customXml/itemProps11.xml><?xml version="1.0" encoding="utf-8"?>
<ds:datastoreItem xmlns:ds="http://schemas.openxmlformats.org/officeDocument/2006/customXml" ds:itemID="{356D430D-E39F-4B75-AB94-7366D9237F19}">
  <ds:schemaRefs/>
</ds:datastoreItem>
</file>

<file path=customXml/itemProps12.xml><?xml version="1.0" encoding="utf-8"?>
<ds:datastoreItem xmlns:ds="http://schemas.openxmlformats.org/officeDocument/2006/customXml" ds:itemID="{07987C1B-F2D6-4BD7-B229-891CB2DD1351}">
  <ds:schemaRefs>
    <ds:schemaRef ds:uri="http://schemas.microsoft.com/DataMashup"/>
  </ds:schemaRefs>
</ds:datastoreItem>
</file>

<file path=customXml/itemProps13.xml><?xml version="1.0" encoding="utf-8"?>
<ds:datastoreItem xmlns:ds="http://schemas.openxmlformats.org/officeDocument/2006/customXml" ds:itemID="{0F95B74A-2195-4D78-8926-38903F50EA3B}">
  <ds:schemaRefs/>
</ds:datastoreItem>
</file>

<file path=customXml/itemProps14.xml><?xml version="1.0" encoding="utf-8"?>
<ds:datastoreItem xmlns:ds="http://schemas.openxmlformats.org/officeDocument/2006/customXml" ds:itemID="{342EF4F2-B64B-4A6D-AA3F-3B9BBF89C221}">
  <ds:schemaRefs/>
</ds:datastoreItem>
</file>

<file path=customXml/itemProps15.xml><?xml version="1.0" encoding="utf-8"?>
<ds:datastoreItem xmlns:ds="http://schemas.openxmlformats.org/officeDocument/2006/customXml" ds:itemID="{0472F4AD-EF70-47C5-AB85-9530AE0E1E53}">
  <ds:schemaRefs/>
</ds:datastoreItem>
</file>

<file path=customXml/itemProps16.xml><?xml version="1.0" encoding="utf-8"?>
<ds:datastoreItem xmlns:ds="http://schemas.openxmlformats.org/officeDocument/2006/customXml" ds:itemID="{D3052BDB-E3EE-4005-BDA3-7DFA9C213710}">
  <ds:schemaRefs/>
</ds:datastoreItem>
</file>

<file path=customXml/itemProps17.xml><?xml version="1.0" encoding="utf-8"?>
<ds:datastoreItem xmlns:ds="http://schemas.openxmlformats.org/officeDocument/2006/customXml" ds:itemID="{288ADC8A-82D8-4851-A0F5-C7AE601C69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Average wait time daily trend </vt:lpstr>
      <vt:lpstr>Dashboard</vt:lpstr>
      <vt:lpstr>Satisfaction Score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arunparulsingh@gmail.com</dc:creator>
  <cp:lastModifiedBy>arunparulsingh@gmail.com</cp:lastModifiedBy>
  <dcterms:created xsi:type="dcterms:W3CDTF">2026-03-23T07:31:25Z</dcterms:created>
  <dcterms:modified xsi:type="dcterms:W3CDTF">2026-05-03T05:59:02Z</dcterms:modified>
</cp:coreProperties>
</file>