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8a76354233f9bd83/Documents/EXCEL-DPP/"/>
    </mc:Choice>
  </mc:AlternateContent>
  <xr:revisionPtr revIDLastSave="4" documentId="8_{B3DD16CA-325C-47D8-930B-A0EB12A76FD9}" xr6:coauthVersionLast="47" xr6:coauthVersionMax="47" xr10:uidLastSave="{223B3C73-D4BF-4AB2-9DDE-6463DBE34747}"/>
  <bookViews>
    <workbookView xWindow="-108" yWindow="-108" windowWidth="23256" windowHeight="12456" xr2:uid="{00000000-000D-0000-FFFF-FFFF00000000}"/>
  </bookViews>
  <sheets>
    <sheet name="Dataset" sheetId="1" r:id="rId1"/>
    <sheet name="Answers" sheetId="2" r:id="rId2"/>
    <sheet name="Dashboard" sheetId="6" r:id="rId3"/>
    <sheet name="PIVOTS" sheetId="7" r:id="rId4"/>
  </sheets>
  <definedNames>
    <definedName name="NativeTimeline_Date">#N/A</definedName>
    <definedName name="Slicer_Product">#N/A</definedName>
    <definedName name="Slicer_Region">#N/A</definedName>
    <definedName name="Slicer_Region1">#N/A</definedName>
    <definedName name="Slicer_Salesperson">#N/A</definedName>
    <definedName name="Slicer_Salespers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 l="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<sst xmlns="http://schemas.openxmlformats.org/spreadsheetml/2006/main" count="168" uniqueCount="56">
  <si>
    <t>Date</t>
  </si>
  <si>
    <t>Region</t>
  </si>
  <si>
    <t>Salesperson</t>
  </si>
  <si>
    <t>Product</t>
  </si>
  <si>
    <t>Units Sold</t>
  </si>
  <si>
    <t>Revenue</t>
  </si>
  <si>
    <t>Discount</t>
  </si>
  <si>
    <t>Profit</t>
  </si>
  <si>
    <t>East</t>
  </si>
  <si>
    <t>John Doe</t>
  </si>
  <si>
    <t>Laptop</t>
  </si>
  <si>
    <t>West</t>
  </si>
  <si>
    <t>Jane Smith</t>
  </si>
  <si>
    <t>Phone</t>
  </si>
  <si>
    <t>North</t>
  </si>
  <si>
    <t>Adam Lee</t>
  </si>
  <si>
    <t>Tablet</t>
  </si>
  <si>
    <t>South</t>
  </si>
  <si>
    <t>Emily Clark</t>
  </si>
  <si>
    <t>Monitor</t>
  </si>
  <si>
    <t>1. PivotTable Creation: Create a PivotTable to summarize total revenue per region. Which region has the highest total revenue?</t>
  </si>
  <si>
    <t>4. PivotChart Analysis: Create a PivotChart for Revenue by Product. Which product generates the most revenue?</t>
  </si>
  <si>
    <t>5. Profitability Check: Using a PivotTable, find the salesperson with the highest total profit. Who is it?</t>
  </si>
  <si>
    <t>6. Discount Impact: Calculate the average discount applied per region using a PivotTable. Which region has the highest average discount?</t>
  </si>
  <si>
    <t>7. Filtering with Slicers: Apply a slicer to filter sales by Product = Laptop. What is the total revenue from laptop sales?</t>
  </si>
  <si>
    <t>8. Conditional Formatting: Apply conditional formatting to highlight sales where the Profit is below $1000. How many such sales are there?</t>
  </si>
  <si>
    <t>10. Dashboard Creation: Combine the PivotTables, PivotCharts, Slicers, and Timelines into a single interactive dashboard. Take a screenshot of your final dashboard.</t>
  </si>
  <si>
    <t>2. Slicer Implementation: Add a slicer for the Salesperson column. How many unique salespersons are in the dataset?</t>
  </si>
  <si>
    <t>Row Labels</t>
  </si>
  <si>
    <t>Grand Total</t>
  </si>
  <si>
    <t>Sum of Revenue</t>
  </si>
  <si>
    <t>North region has the highest total revenue.</t>
  </si>
  <si>
    <t>4 Unique salesperson are in the dataset</t>
  </si>
  <si>
    <t>3. Timeline Usage: Insert a timeline for the Date column. What is the total revenue for January 2024?</t>
  </si>
  <si>
    <t>Jan</t>
  </si>
  <si>
    <t>Monitor generates the most revenue</t>
  </si>
  <si>
    <t>Sum of Profit</t>
  </si>
  <si>
    <t>Adam Lee generates the highest total profit</t>
  </si>
  <si>
    <t>DiscValue</t>
  </si>
  <si>
    <t>9. Calculated Field: Create a Profit Margin % calculated field as (Profit / Revenue) * 100. What is the highest profit margin in the dataset?</t>
  </si>
  <si>
    <t xml:space="preserve">Answer 8 is apllied in Sheet1, 7 such values are there. </t>
  </si>
  <si>
    <t>Revenue_</t>
  </si>
  <si>
    <t>Profit_</t>
  </si>
  <si>
    <t xml:space="preserve">Profit_Margin% </t>
  </si>
  <si>
    <t>DiscValue_</t>
  </si>
  <si>
    <t>AvgDisc</t>
  </si>
  <si>
    <t>Highest Average Discount = South Region</t>
  </si>
  <si>
    <t>Highest Profit Margin is from Adam Lee on Monitor 22.2%</t>
  </si>
  <si>
    <t>Total Revenue</t>
  </si>
  <si>
    <t>Total Profit</t>
  </si>
  <si>
    <t>Total Units Sold</t>
  </si>
  <si>
    <t xml:space="preserve">Profit Margin % </t>
  </si>
  <si>
    <t>Revenue By Region</t>
  </si>
  <si>
    <t>Revenue By Salesman</t>
  </si>
  <si>
    <t>Profit By Products</t>
  </si>
  <si>
    <t>Revenue Trend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</si>
</sst>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6" x14ac:knownFonts="1">
    <font>
      <sz val="10"/>
      <color rgb="FF000000"/>
      <name val="Arial"/>
      <scheme val="minor"/>
    </font>
    <font>
      <sz val="10"/>
      <color theme="1"/>
      <name val="Arial"/>
      <family val="2"/>
      <scheme val="minor"/>
    </font>
    <font>
      <sz val="10"/>
      <color rgb="FF000000"/>
      <name val="Arial"/>
      <family val="2"/>
      <scheme val="minor"/>
    </font>
    <font>
      <b/>
      <sz val="10"/>
      <color theme="1"/>
      <name val="Arial"/>
      <family val="2"/>
      <scheme val="minor"/>
    </font>
    <font>
      <sz val="8"/>
      <name val="Arial"/>
      <scheme val="minor"/>
    </font>
    <font>
      <sz val="10"/>
      <color rgb="FF000000"/>
      <name val="Arial"/>
      <scheme val="minor"/>
    </font>
  </fonts>
  <fills count="4">
    <fill>
      <patternFill patternType="none"/>
    </fill>
    <fill>
      <patternFill patternType="gray125"/>
    </fill>
    <fill>
      <patternFill patternType="solid">
        <fgColor theme="4"/>
        <bgColor theme="4"/>
      </patternFill>
    </fill>
    <fill>
      <patternFill patternType="solid">
        <fgColor theme="0"/>
        <bgColor indexed="64"/>
      </patternFill>
    </fill>
  </fills>
  <borders count="4">
    <border>
      <left/>
      <right/>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right/>
      <top/>
      <bottom style="thin">
        <color indexed="64"/>
      </bottom>
      <diagonal/>
    </border>
  </borders>
  <cellStyleXfs count="2">
    <xf numFmtId="0" fontId="0" fillId="0" borderId="0"/>
    <xf numFmtId="9" fontId="5" fillId="0" borderId="0" applyFont="0" applyFill="0" applyBorder="0" applyAlignment="0" applyProtection="0"/>
  </cellStyleXfs>
  <cellXfs count="27">
    <xf numFmtId="0" fontId="0" fillId="0" borderId="0" xfId="0"/>
    <xf numFmtId="0" fontId="0" fillId="0" borderId="0" xfId="0" pivotButton="1"/>
    <xf numFmtId="0" fontId="0" fillId="0" borderId="0" xfId="0" applyAlignment="1">
      <alignment horizontal="left"/>
    </xf>
    <xf numFmtId="164" fontId="0" fillId="0" borderId="0" xfId="0" applyNumberFormat="1" applyAlignment="1">
      <alignment horizontal="left"/>
    </xf>
    <xf numFmtId="9" fontId="0" fillId="0" borderId="0" xfId="0" applyNumberFormat="1"/>
    <xf numFmtId="0" fontId="0" fillId="0" borderId="0" xfId="0" applyAlignment="1">
      <alignment horizontal="left" indent="1"/>
    </xf>
    <xf numFmtId="0" fontId="2" fillId="0" borderId="0" xfId="0" applyFont="1"/>
    <xf numFmtId="10" fontId="0" fillId="0" borderId="0" xfId="0" applyNumberFormat="1"/>
    <xf numFmtId="0" fontId="3" fillId="2" borderId="1" xfId="0" applyFont="1" applyFill="1" applyBorder="1" applyAlignment="1">
      <alignment horizontal="center"/>
    </xf>
    <xf numFmtId="9" fontId="3" fillId="2" borderId="1" xfId="0" applyNumberFormat="1" applyFont="1" applyFill="1" applyBorder="1" applyAlignment="1">
      <alignment horizontal="center"/>
    </xf>
    <xf numFmtId="0" fontId="3" fillId="2" borderId="0" xfId="0" applyFont="1" applyFill="1" applyAlignment="1">
      <alignment horizontal="center"/>
    </xf>
    <xf numFmtId="0" fontId="1" fillId="0" borderId="1" xfId="0" applyFont="1" applyBorder="1"/>
    <xf numFmtId="1" fontId="1" fillId="0" borderId="1" xfId="0" applyNumberFormat="1" applyFont="1" applyBorder="1"/>
    <xf numFmtId="9" fontId="1" fillId="0" borderId="1" xfId="0" applyNumberFormat="1" applyFont="1" applyBorder="1"/>
    <xf numFmtId="0" fontId="1" fillId="0" borderId="2" xfId="0" applyFont="1" applyBorder="1"/>
    <xf numFmtId="1" fontId="1" fillId="0" borderId="2" xfId="0" applyNumberFormat="1" applyFont="1" applyBorder="1"/>
    <xf numFmtId="9" fontId="1" fillId="0" borderId="2" xfId="0" applyNumberFormat="1" applyFont="1" applyBorder="1"/>
    <xf numFmtId="165" fontId="0" fillId="0" borderId="0" xfId="0" applyNumberFormat="1"/>
    <xf numFmtId="164" fontId="0" fillId="0" borderId="0" xfId="0" applyNumberFormat="1" applyAlignment="1">
      <alignment horizontal="left" indent="2"/>
    </xf>
    <xf numFmtId="164" fontId="1" fillId="0" borderId="1" xfId="0" applyNumberFormat="1" applyFont="1" applyBorder="1"/>
    <xf numFmtId="164" fontId="1" fillId="0" borderId="2" xfId="0" applyNumberFormat="1" applyFont="1" applyBorder="1"/>
    <xf numFmtId="9" fontId="0" fillId="0" borderId="0" xfId="1" applyFont="1"/>
    <xf numFmtId="2" fontId="0" fillId="0" borderId="0" xfId="0" applyNumberFormat="1"/>
    <xf numFmtId="0" fontId="0" fillId="3" borderId="3" xfId="0" applyFill="1" applyBorder="1"/>
    <xf numFmtId="0" fontId="0" fillId="0" borderId="3" xfId="0" applyBorder="1"/>
    <xf numFmtId="0" fontId="0" fillId="3" borderId="0" xfId="0" applyFill="1"/>
    <xf numFmtId="0" fontId="0" fillId="0" borderId="0" xfId="0" applyNumberFormat="1"/>
  </cellXfs>
  <cellStyles count="2">
    <cellStyle name="Normal" xfId="0" builtinId="0"/>
    <cellStyle name="Percent" xfId="1" builtinId="5"/>
  </cellStyles>
  <dxfs count="19">
    <dxf>
      <numFmt numFmtId="2" formatCode="0.00"/>
    </dxf>
    <dxf>
      <numFmt numFmtId="2" formatCode="0.00"/>
    </dxf>
    <dxf>
      <numFmt numFmtId="2" formatCode="0.00"/>
    </dxf>
    <dxf>
      <numFmt numFmtId="2" formatCode="0.00"/>
    </dxf>
    <dxf>
      <font>
        <color rgb="FF9C0006"/>
      </font>
      <fill>
        <patternFill>
          <bgColor rgb="FFFFC7CE"/>
        </patternFill>
      </fill>
    </dxf>
    <dxf>
      <numFmt numFmtId="2" formatCode="0.00"/>
    </dxf>
    <dxf>
      <numFmt numFmtId="165" formatCode="0.0"/>
    </dxf>
    <dxf>
      <numFmt numFmtId="14" formatCode="0.00%"/>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numFmt numFmtId="13"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Arial"/>
        <family val="2"/>
        <scheme val="minor"/>
      </font>
      <numFmt numFmtId="164" formatCode="yyyy\-mm\-dd"/>
      <border diagonalUp="0" diagonalDown="0">
        <left/>
        <right/>
        <top style="thin">
          <color theme="4" tint="0.39997558519241921"/>
        </top>
        <bottom/>
        <vertical/>
        <horizontal/>
      </border>
    </dxf>
    <dxf>
      <border outline="0">
        <left style="thin">
          <color theme="4" tint="0.39997558519241921"/>
        </left>
        <right style="thin">
          <color theme="4" tint="0.39997558519241921"/>
        </right>
      </border>
    </dxf>
    <dxf>
      <font>
        <b/>
        <i val="0"/>
        <strike val="0"/>
        <condense val="0"/>
        <extend val="0"/>
        <outline val="0"/>
        <shadow val="0"/>
        <u val="none"/>
        <vertAlign val="baseline"/>
        <sz val="10"/>
        <color theme="1"/>
        <name val="Arial"/>
        <family val="2"/>
        <scheme val="minor"/>
      </font>
      <fill>
        <patternFill patternType="solid">
          <fgColor theme="4"/>
          <bgColor theme="4"/>
        </patternFill>
      </fill>
      <alignment horizontal="center" vertical="bottom" textRotation="0" wrapText="0" indent="0" justifyLastLine="0" shrinkToFit="0" readingOrder="0"/>
    </dxf>
    <dxf>
      <font>
        <color theme="0"/>
      </font>
    </dxf>
  </dxfs>
  <tableStyles count="1" defaultTableStyle="Table Style 1" defaultPivotStyle="PivotStyleLight16">
    <tableStyle name="Table Style 1" pivot="0" count="1" xr9:uid="{007B6D3F-D38C-466B-AAEC-3E9C6A5F45E8}">
      <tableStyleElement type="wholeTabl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[tarun-DDP-20 Advance Excel - Copy.xlsx]Answers!PivotTable5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Answers!$C$39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Answers!$B$40:$B$44</c:f>
              <c:strCache>
                <c:ptCount val="4"/>
                <c:pt idx="0">
                  <c:v>Monitor</c:v>
                </c:pt>
                <c:pt idx="1">
                  <c:v>Phone</c:v>
                </c:pt>
                <c:pt idx="2">
                  <c:v>Tablet</c:v>
                </c:pt>
                <c:pt idx="3">
                  <c:v>Laptop</c:v>
                </c:pt>
              </c:strCache>
            </c:strRef>
          </c:cat>
          <c:val>
            <c:numRef>
              <c:f>Answers!$C$40:$C$44</c:f>
              <c:numCache>
                <c:formatCode>General</c:formatCode>
                <c:ptCount val="4"/>
                <c:pt idx="0">
                  <c:v>36800</c:v>
                </c:pt>
                <c:pt idx="1">
                  <c:v>36300</c:v>
                </c:pt>
                <c:pt idx="2">
                  <c:v>26300</c:v>
                </c:pt>
                <c:pt idx="3">
                  <c:v>25000</c:v>
                </c:pt>
              </c:numCache>
            </c:numRef>
          </c:val>
          <c:extLst>
            <c:ext xmlns:c16="http://schemas.microsoft.com/office/drawing/2014/chart" uri="{C3380CC4-5D6E-409C-BE32-E72D297353CC}">
              <c16:uniqueId val="{00000000-4EDA-4C56-9388-C5343FA33D5C}"/>
            </c:ext>
          </c:extLst>
        </c:ser>
        <c:dLbls>
          <c:showLegendKey val="0"/>
          <c:showVal val="0"/>
          <c:showCatName val="0"/>
          <c:showSerName val="0"/>
          <c:showPercent val="0"/>
          <c:showBubbleSize val="0"/>
        </c:dLbls>
        <c:gapWidth val="219"/>
        <c:overlap val="-27"/>
        <c:axId val="499316560"/>
        <c:axId val="499317280"/>
      </c:barChart>
      <c:catAx>
        <c:axId val="4993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499317280"/>
        <c:crosses val="autoZero"/>
        <c:auto val="1"/>
        <c:lblAlgn val="ctr"/>
        <c:lblOffset val="100"/>
        <c:noMultiLvlLbl val="0"/>
      </c:catAx>
      <c:valAx>
        <c:axId val="4993172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9931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[tarun-DDP-20 Advance Excel - Copy.xlsx]PIVOTS!Dashboard5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PIVOTS!$B$9:$B$10</c:f>
              <c:strCache>
                <c:ptCount val="1"/>
                <c:pt idx="0">
                  <c:v>West</c:v>
                </c:pt>
              </c:strCache>
            </c:strRef>
          </c:cat>
          <c:val>
            <c:numRef>
              <c:f>PIVOTS!$C$9:$C$10</c:f>
              <c:numCache>
                <c:formatCode>General</c:formatCode>
                <c:ptCount val="1"/>
                <c:pt idx="0">
                  <c:v>29600</c:v>
                </c:pt>
              </c:numCache>
            </c:numRef>
          </c:val>
          <c:extLst>
            <c:ext xmlns:c16="http://schemas.microsoft.com/office/drawing/2014/chart" uri="{C3380CC4-5D6E-409C-BE32-E72D297353CC}">
              <c16:uniqueId val="{00000000-93AB-4DF0-83EE-83EE283A9CDF}"/>
            </c:ext>
          </c:extLst>
        </c:ser>
        <c:dLbls>
          <c:showLegendKey val="0"/>
          <c:showVal val="0"/>
          <c:showCatName val="0"/>
          <c:showSerName val="0"/>
          <c:showPercent val="0"/>
          <c:showBubbleSize val="0"/>
        </c:dLbls>
        <c:gapWidth val="219"/>
        <c:overlap val="-27"/>
        <c:axId val="444459832"/>
        <c:axId val="444463072"/>
      </c:barChart>
      <c:catAx>
        <c:axId val="444459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444463072"/>
        <c:crosses val="autoZero"/>
        <c:auto val="1"/>
        <c:lblAlgn val="ctr"/>
        <c:lblOffset val="100"/>
        <c:noMultiLvlLbl val="0"/>
      </c:catAx>
      <c:valAx>
        <c:axId val="444463072"/>
        <c:scaling>
          <c:orientation val="minMax"/>
        </c:scaling>
        <c:delete val="1"/>
        <c:axPos val="l"/>
        <c:numFmt formatCode="General" sourceLinked="1"/>
        <c:majorTickMark val="none"/>
        <c:minorTickMark val="none"/>
        <c:tickLblPos val="nextTo"/>
        <c:crossAx val="444459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[tarun-DDP-20 Advance Excel - Copy.xlsx]PIVOTS!Dashboard6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35890705969445E-2"/>
          <c:y val="0.17966532463984988"/>
          <c:w val="0.90598290598290598"/>
          <c:h val="0.68169214142349854"/>
        </c:manualLayout>
      </c:layout>
      <c:barChart>
        <c:barDir val="col"/>
        <c:grouping val="clustered"/>
        <c:varyColors val="0"/>
        <c:ser>
          <c:idx val="0"/>
          <c:order val="0"/>
          <c:tx>
            <c:strRef>
              <c:f>PIVOTS!$C$16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PIVOTS!$B$17:$B$18</c:f>
              <c:strCache>
                <c:ptCount val="1"/>
                <c:pt idx="0">
                  <c:v>Jane Smith</c:v>
                </c:pt>
              </c:strCache>
            </c:strRef>
          </c:cat>
          <c:val>
            <c:numRef>
              <c:f>PIVOTS!$C$17:$C$18</c:f>
              <c:numCache>
                <c:formatCode>General</c:formatCode>
                <c:ptCount val="1"/>
                <c:pt idx="0">
                  <c:v>29600</c:v>
                </c:pt>
              </c:numCache>
            </c:numRef>
          </c:val>
          <c:extLst>
            <c:ext xmlns:c16="http://schemas.microsoft.com/office/drawing/2014/chart" uri="{C3380CC4-5D6E-409C-BE32-E72D297353CC}">
              <c16:uniqueId val="{00000000-36F8-4267-958D-D3546A90AADE}"/>
            </c:ext>
          </c:extLst>
        </c:ser>
        <c:dLbls>
          <c:dLblPos val="outEnd"/>
          <c:showLegendKey val="0"/>
          <c:showVal val="1"/>
          <c:showCatName val="0"/>
          <c:showSerName val="0"/>
          <c:showPercent val="0"/>
          <c:showBubbleSize val="0"/>
        </c:dLbls>
        <c:gapWidth val="219"/>
        <c:overlap val="-27"/>
        <c:axId val="514826176"/>
        <c:axId val="514826896"/>
      </c:barChart>
      <c:catAx>
        <c:axId val="51482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14826896"/>
        <c:crosses val="autoZero"/>
        <c:auto val="1"/>
        <c:lblAlgn val="ctr"/>
        <c:lblOffset val="100"/>
        <c:noMultiLvlLbl val="0"/>
      </c:catAx>
      <c:valAx>
        <c:axId val="514826896"/>
        <c:scaling>
          <c:orientation val="minMax"/>
        </c:scaling>
        <c:delete val="1"/>
        <c:axPos val="l"/>
        <c:numFmt formatCode="General" sourceLinked="1"/>
        <c:majorTickMark val="none"/>
        <c:minorTickMark val="none"/>
        <c:tickLblPos val="nextTo"/>
        <c:crossAx val="51482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[tarun-DDP-20 Advance Excel - Copy.xlsx]PIVOTS!Dashboard7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PIVOTS!$B$25:$B$27</c:f>
              <c:strCache>
                <c:ptCount val="2"/>
                <c:pt idx="0">
                  <c:v>Laptop</c:v>
                </c:pt>
                <c:pt idx="1">
                  <c:v>Phone</c:v>
                </c:pt>
              </c:strCache>
            </c:strRef>
          </c:cat>
          <c:val>
            <c:numRef>
              <c:f>PIVOTS!$C$25:$C$27</c:f>
              <c:numCache>
                <c:formatCode>General</c:formatCode>
                <c:ptCount val="2"/>
                <c:pt idx="0">
                  <c:v>1800</c:v>
                </c:pt>
                <c:pt idx="1">
                  <c:v>4100</c:v>
                </c:pt>
              </c:numCache>
            </c:numRef>
          </c:val>
          <c:extLst>
            <c:ext xmlns:c16="http://schemas.microsoft.com/office/drawing/2014/chart" uri="{C3380CC4-5D6E-409C-BE32-E72D297353CC}">
              <c16:uniqueId val="{00000000-C3E6-4E43-B0F1-EBD34F3A477A}"/>
            </c:ext>
          </c:extLst>
        </c:ser>
        <c:dLbls>
          <c:dLblPos val="outEnd"/>
          <c:showLegendKey val="0"/>
          <c:showVal val="1"/>
          <c:showCatName val="0"/>
          <c:showSerName val="0"/>
          <c:showPercent val="0"/>
          <c:showBubbleSize val="0"/>
        </c:dLbls>
        <c:gapWidth val="219"/>
        <c:overlap val="-27"/>
        <c:axId val="510112712"/>
        <c:axId val="510111992"/>
      </c:barChart>
      <c:catAx>
        <c:axId val="510112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10111992"/>
        <c:crosses val="autoZero"/>
        <c:auto val="1"/>
        <c:lblAlgn val="ctr"/>
        <c:lblOffset val="100"/>
        <c:noMultiLvlLbl val="0"/>
      </c:catAx>
      <c:valAx>
        <c:axId val="510111992"/>
        <c:scaling>
          <c:orientation val="minMax"/>
        </c:scaling>
        <c:delete val="1"/>
        <c:axPos val="l"/>
        <c:numFmt formatCode="General" sourceLinked="1"/>
        <c:majorTickMark val="none"/>
        <c:minorTickMark val="none"/>
        <c:tickLblPos val="nextTo"/>
        <c:crossAx val="510112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[tarun-DDP-20 Advance Excel - Copy.xlsx]PIVOTS!Dashboard8</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PIVOTS!$C$32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PIVOTS!$B$33:$B$38</c:f>
              <c:strCache>
                <c:ptCount val="5"/>
                <c:pt idx="0">
                  <c:v>2024-01-02</c:v>
                </c:pt>
                <c:pt idx="1">
                  <c:v>2024-01-06</c:v>
                </c:pt>
                <c:pt idx="2">
                  <c:v>2024-01-10</c:v>
                </c:pt>
                <c:pt idx="3">
                  <c:v>2024-01-14</c:v>
                </c:pt>
                <c:pt idx="4">
                  <c:v>2024-01-18</c:v>
                </c:pt>
              </c:strCache>
            </c:strRef>
          </c:cat>
          <c:val>
            <c:numRef>
              <c:f>PIVOTS!$C$33:$C$38</c:f>
              <c:numCache>
                <c:formatCode>General</c:formatCode>
                <c:ptCount val="5"/>
                <c:pt idx="0">
                  <c:v>7000</c:v>
                </c:pt>
                <c:pt idx="1">
                  <c:v>4900</c:v>
                </c:pt>
                <c:pt idx="2">
                  <c:v>7700</c:v>
                </c:pt>
                <c:pt idx="3">
                  <c:v>4800</c:v>
                </c:pt>
                <c:pt idx="4">
                  <c:v>5200</c:v>
                </c:pt>
              </c:numCache>
            </c:numRef>
          </c:val>
          <c:smooth val="0"/>
          <c:extLst>
            <c:ext xmlns:c16="http://schemas.microsoft.com/office/drawing/2014/chart" uri="{C3380CC4-5D6E-409C-BE32-E72D297353CC}">
              <c16:uniqueId val="{00000000-5F1A-4BC2-9D6E-0C7FCBBC0D69}"/>
            </c:ext>
          </c:extLst>
        </c:ser>
        <c:dLbls>
          <c:showLegendKey val="0"/>
          <c:showVal val="0"/>
          <c:showCatName val="0"/>
          <c:showSerName val="0"/>
          <c:showPercent val="0"/>
          <c:showBubbleSize val="0"/>
        </c:dLbls>
        <c:marker val="1"/>
        <c:smooth val="0"/>
        <c:axId val="510120272"/>
        <c:axId val="510121712"/>
      </c:lineChart>
      <c:catAx>
        <c:axId val="51012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10121712"/>
        <c:crosses val="autoZero"/>
        <c:auto val="1"/>
        <c:lblAlgn val="ctr"/>
        <c:lblOffset val="100"/>
        <c:noMultiLvlLbl val="0"/>
      </c:catAx>
      <c:valAx>
        <c:axId val="51012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5101202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3</xdr:col>
      <xdr:colOff>104774</xdr:colOff>
      <xdr:row>13</xdr:row>
      <xdr:rowOff>28574</xdr:rowOff>
    </xdr:from>
    <xdr:to>
      <xdr:col>9</xdr:col>
      <xdr:colOff>295274</xdr:colOff>
      <xdr:row>17</xdr:row>
      <xdr:rowOff>28575</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38E497AF-DF30-9324-BA32-2338ACD3DD6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028949" y="2133599"/>
              <a:ext cx="2581275" cy="647701"/>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28576</xdr:colOff>
      <xdr:row>25</xdr:row>
      <xdr:rowOff>85725</xdr:rowOff>
    </xdr:from>
    <xdr:to>
      <xdr:col>3</xdr:col>
      <xdr:colOff>180976</xdr:colOff>
      <xdr:row>33</xdr:row>
      <xdr:rowOff>123825</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0311FEF7-6959-8436-F027-F5B318A7C2F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8176" y="4133850"/>
              <a:ext cx="1962150" cy="1333500"/>
            </a:xfrm>
            <a:prstGeom prst="rect">
              <a:avLst/>
            </a:prstGeom>
            <a:solidFill>
              <a:prstClr val="white"/>
            </a:solidFill>
            <a:ln w="1">
              <a:solidFill>
                <a:prstClr val="green"/>
              </a:solidFill>
            </a:ln>
          </xdr:spPr>
          <xdr:txBody>
            <a:bodyPr vertOverflow="clip" horzOverflow="clip"/>
            <a:lstStyle/>
            <a:p>
              <a:r>
                <a:rPr lang="hi-IN" sz="1100"/>
                <a:t>Timeline: Works in Excel 2013 or higher. Do not move or resize.</a:t>
              </a:r>
            </a:p>
          </xdr:txBody>
        </xdr:sp>
      </mc:Fallback>
    </mc:AlternateContent>
    <xdr:clientData/>
  </xdr:twoCellAnchor>
  <xdr:twoCellAnchor editAs="oneCell">
    <xdr:from>
      <xdr:col>3</xdr:col>
      <xdr:colOff>66675</xdr:colOff>
      <xdr:row>69</xdr:row>
      <xdr:rowOff>76200</xdr:rowOff>
    </xdr:from>
    <xdr:to>
      <xdr:col>6</xdr:col>
      <xdr:colOff>190500</xdr:colOff>
      <xdr:row>74</xdr:row>
      <xdr:rowOff>57150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91B2BE45-CF72-97C6-55FC-BB66C1A21B8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990850" y="11249025"/>
              <a:ext cx="1828800" cy="79057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xdr:colOff>
      <xdr:row>58</xdr:row>
      <xdr:rowOff>57152</xdr:rowOff>
    </xdr:from>
    <xdr:to>
      <xdr:col>4</xdr:col>
      <xdr:colOff>600075</xdr:colOff>
      <xdr:row>60</xdr:row>
      <xdr:rowOff>129302</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B9228E7-6E0F-AD7C-22AA-032B3F4338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8175" y="9448802"/>
              <a:ext cx="2838450" cy="39600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228600</xdr:colOff>
      <xdr:row>37</xdr:row>
      <xdr:rowOff>57150</xdr:rowOff>
    </xdr:from>
    <xdr:to>
      <xdr:col>15</xdr:col>
      <xdr:colOff>57150</xdr:colOff>
      <xdr:row>44</xdr:row>
      <xdr:rowOff>0</xdr:rowOff>
    </xdr:to>
    <xdr:graphicFrame macro="">
      <xdr:nvGraphicFramePr>
        <xdr:cNvPr id="6" name="Chart 5">
          <a:extLst>
            <a:ext uri="{FF2B5EF4-FFF2-40B4-BE49-F238E27FC236}">
              <a16:creationId xmlns:a16="http://schemas.microsoft.com/office/drawing/2014/main" id="{375D52BD-28E0-37C9-62C6-4A95D8464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121</xdr:row>
      <xdr:rowOff>114300</xdr:rowOff>
    </xdr:from>
    <xdr:to>
      <xdr:col>8</xdr:col>
      <xdr:colOff>95250</xdr:colOff>
      <xdr:row>135</xdr:row>
      <xdr:rowOff>28707</xdr:rowOff>
    </xdr:to>
    <xdr:pic>
      <xdr:nvPicPr>
        <xdr:cNvPr id="8" name="Picture 7">
          <a:extLst>
            <a:ext uri="{FF2B5EF4-FFF2-40B4-BE49-F238E27FC236}">
              <a16:creationId xmlns:a16="http://schemas.microsoft.com/office/drawing/2014/main" id="{0E4BD0F1-B96F-23F7-FD91-CE533571EA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9600" y="19707225"/>
          <a:ext cx="4067175" cy="21813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xdr:colOff>
      <xdr:row>2</xdr:row>
      <xdr:rowOff>142875</xdr:rowOff>
    </xdr:from>
    <xdr:to>
      <xdr:col>4</xdr:col>
      <xdr:colOff>95250</xdr:colOff>
      <xdr:row>7</xdr:row>
      <xdr:rowOff>0</xdr:rowOff>
    </xdr:to>
    <xdr:sp macro="" textlink="PIVOTS!B5">
      <xdr:nvSpPr>
        <xdr:cNvPr id="10" name="TextBox 9">
          <a:extLst>
            <a:ext uri="{FF2B5EF4-FFF2-40B4-BE49-F238E27FC236}">
              <a16:creationId xmlns:a16="http://schemas.microsoft.com/office/drawing/2014/main" id="{52F8F030-C3CD-D44A-B9BC-58F87826D6AE}"/>
            </a:ext>
          </a:extLst>
        </xdr:cNvPr>
        <xdr:cNvSpPr txBox="1"/>
      </xdr:nvSpPr>
      <xdr:spPr>
        <a:xfrm>
          <a:off x="838200" y="695325"/>
          <a:ext cx="1257300" cy="666750"/>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616AA9-9036-4FE0-A34C-3E4BEC24CC3C}" type="TxLink">
            <a:rPr lang="en-US" sz="1800" b="1" i="0" u="none" strike="noStrike">
              <a:solidFill>
                <a:srgbClr val="000000"/>
              </a:solidFill>
              <a:latin typeface="Arial"/>
              <a:cs typeface="Arial"/>
            </a:rPr>
            <a:pPr algn="ctr"/>
            <a:t>29600</a:t>
          </a:fld>
          <a:endParaRPr lang="hi-IN" sz="1800" b="1"/>
        </a:p>
      </xdr:txBody>
    </xdr:sp>
    <xdr:clientData/>
  </xdr:twoCellAnchor>
  <xdr:twoCellAnchor>
    <xdr:from>
      <xdr:col>6</xdr:col>
      <xdr:colOff>180975</xdr:colOff>
      <xdr:row>2</xdr:row>
      <xdr:rowOff>152400</xdr:rowOff>
    </xdr:from>
    <xdr:to>
      <xdr:col>8</xdr:col>
      <xdr:colOff>352425</xdr:colOff>
      <xdr:row>6</xdr:row>
      <xdr:rowOff>152400</xdr:rowOff>
    </xdr:to>
    <xdr:sp macro="" textlink="PIVOTS!H5">
      <xdr:nvSpPr>
        <xdr:cNvPr id="11" name="TextBox 10">
          <a:extLst>
            <a:ext uri="{FF2B5EF4-FFF2-40B4-BE49-F238E27FC236}">
              <a16:creationId xmlns:a16="http://schemas.microsoft.com/office/drawing/2014/main" id="{BE7E7A3E-B672-BE24-94E8-B5635CB7C6C0}"/>
            </a:ext>
          </a:extLst>
        </xdr:cNvPr>
        <xdr:cNvSpPr txBox="1"/>
      </xdr:nvSpPr>
      <xdr:spPr>
        <a:xfrm>
          <a:off x="3400425" y="704850"/>
          <a:ext cx="1390650" cy="647700"/>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922F9A-EC0F-4233-985A-60568D132B07}" type="TxLink">
            <a:rPr lang="en-US" sz="1800" b="1" i="0" u="none" strike="noStrike">
              <a:solidFill>
                <a:srgbClr val="000000"/>
              </a:solidFill>
              <a:latin typeface="Arial"/>
              <a:cs typeface="Arial"/>
            </a:rPr>
            <a:pPr algn="ctr"/>
            <a:t>43</a:t>
          </a:fld>
          <a:endParaRPr lang="hi-IN" sz="1800" b="1"/>
        </a:p>
      </xdr:txBody>
    </xdr:sp>
    <xdr:clientData/>
  </xdr:twoCellAnchor>
  <xdr:twoCellAnchor>
    <xdr:from>
      <xdr:col>4</xdr:col>
      <xdr:colOff>114300</xdr:colOff>
      <xdr:row>2</xdr:row>
      <xdr:rowOff>152400</xdr:rowOff>
    </xdr:from>
    <xdr:to>
      <xdr:col>6</xdr:col>
      <xdr:colOff>152400</xdr:colOff>
      <xdr:row>6</xdr:row>
      <xdr:rowOff>152400</xdr:rowOff>
    </xdr:to>
    <xdr:sp macro="" textlink="PIVOTS!E5">
      <xdr:nvSpPr>
        <xdr:cNvPr id="12" name="TextBox 11">
          <a:extLst>
            <a:ext uri="{FF2B5EF4-FFF2-40B4-BE49-F238E27FC236}">
              <a16:creationId xmlns:a16="http://schemas.microsoft.com/office/drawing/2014/main" id="{F86E5BCC-1C4B-7499-1490-5D745E6C0E0C}"/>
            </a:ext>
          </a:extLst>
        </xdr:cNvPr>
        <xdr:cNvSpPr txBox="1"/>
      </xdr:nvSpPr>
      <xdr:spPr>
        <a:xfrm>
          <a:off x="2114550" y="704850"/>
          <a:ext cx="1257300" cy="647700"/>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DCFC0D-AAB9-4E1E-8A73-30BD3BBAB2D8}" type="TxLink">
            <a:rPr lang="en-US" sz="1800" b="1" i="0" u="none" strike="noStrike">
              <a:solidFill>
                <a:srgbClr val="000000"/>
              </a:solidFill>
              <a:latin typeface="Arial"/>
              <a:cs typeface="Arial"/>
            </a:rPr>
            <a:pPr algn="ctr"/>
            <a:t>5900</a:t>
          </a:fld>
          <a:endParaRPr lang="hi-IN" sz="1800" b="1"/>
        </a:p>
      </xdr:txBody>
    </xdr:sp>
    <xdr:clientData/>
  </xdr:twoCellAnchor>
  <xdr:twoCellAnchor>
    <xdr:from>
      <xdr:col>8</xdr:col>
      <xdr:colOff>390524</xdr:colOff>
      <xdr:row>2</xdr:row>
      <xdr:rowOff>161924</xdr:rowOff>
    </xdr:from>
    <xdr:to>
      <xdr:col>11</xdr:col>
      <xdr:colOff>228599</xdr:colOff>
      <xdr:row>6</xdr:row>
      <xdr:rowOff>152399</xdr:rowOff>
    </xdr:to>
    <xdr:sp macro="" textlink="PIVOTS!K5">
      <xdr:nvSpPr>
        <xdr:cNvPr id="13" name="TextBox 12">
          <a:extLst>
            <a:ext uri="{FF2B5EF4-FFF2-40B4-BE49-F238E27FC236}">
              <a16:creationId xmlns:a16="http://schemas.microsoft.com/office/drawing/2014/main" id="{73C10B64-D724-C15C-A7FA-6BEE416A042D}"/>
            </a:ext>
          </a:extLst>
        </xdr:cNvPr>
        <xdr:cNvSpPr txBox="1"/>
      </xdr:nvSpPr>
      <xdr:spPr>
        <a:xfrm>
          <a:off x="4829174" y="714374"/>
          <a:ext cx="1666875" cy="638175"/>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17AC2F-4842-46DC-95C5-7C60E559CD8D}" type="TxLink">
            <a:rPr lang="en-US" sz="1800" b="1" i="0" u="none" strike="noStrike">
              <a:solidFill>
                <a:srgbClr val="000000"/>
              </a:solidFill>
              <a:latin typeface="Arial"/>
              <a:cs typeface="Arial"/>
            </a:rPr>
            <a:pPr algn="ctr"/>
            <a:t>19.93</a:t>
          </a:fld>
          <a:endParaRPr lang="hi-IN" sz="1800" b="1"/>
        </a:p>
      </xdr:txBody>
    </xdr:sp>
    <xdr:clientData/>
  </xdr:twoCellAnchor>
  <xdr:twoCellAnchor>
    <xdr:from>
      <xdr:col>2</xdr:col>
      <xdr:colOff>85725</xdr:colOff>
      <xdr:row>8</xdr:row>
      <xdr:rowOff>9525</xdr:rowOff>
    </xdr:from>
    <xdr:to>
      <xdr:col>7</xdr:col>
      <xdr:colOff>200025</xdr:colOff>
      <xdr:row>21</xdr:row>
      <xdr:rowOff>0</xdr:rowOff>
    </xdr:to>
    <xdr:graphicFrame macro="">
      <xdr:nvGraphicFramePr>
        <xdr:cNvPr id="14" name="Chart 13">
          <a:extLst>
            <a:ext uri="{FF2B5EF4-FFF2-40B4-BE49-F238E27FC236}">
              <a16:creationId xmlns:a16="http://schemas.microsoft.com/office/drawing/2014/main" id="{E662D8FE-98B8-4167-99F2-6DCC133D2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381000</xdr:colOff>
      <xdr:row>8</xdr:row>
      <xdr:rowOff>9525</xdr:rowOff>
    </xdr:from>
    <xdr:to>
      <xdr:col>12</xdr:col>
      <xdr:colOff>552450</xdr:colOff>
      <xdr:row>21</xdr:row>
      <xdr:rowOff>9525</xdr:rowOff>
    </xdr:to>
    <xdr:graphicFrame macro="">
      <xdr:nvGraphicFramePr>
        <xdr:cNvPr id="15" name="Chart 14">
          <a:extLst>
            <a:ext uri="{FF2B5EF4-FFF2-40B4-BE49-F238E27FC236}">
              <a16:creationId xmlns:a16="http://schemas.microsoft.com/office/drawing/2014/main" id="{29AC1BC2-F64C-42B0-9CF0-E56E641FA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114300</xdr:colOff>
      <xdr:row>8</xdr:row>
      <xdr:rowOff>0</xdr:rowOff>
    </xdr:from>
    <xdr:to>
      <xdr:col>19</xdr:col>
      <xdr:colOff>390525</xdr:colOff>
      <xdr:row>20</xdr:row>
      <xdr:rowOff>142875</xdr:rowOff>
    </xdr:to>
    <xdr:graphicFrame macro="">
      <xdr:nvGraphicFramePr>
        <xdr:cNvPr id="16" name="Chart 15">
          <a:extLst>
            <a:ext uri="{FF2B5EF4-FFF2-40B4-BE49-F238E27FC236}">
              <a16:creationId xmlns:a16="http://schemas.microsoft.com/office/drawing/2014/main" id="{181F6199-0277-46F3-8646-361AB5173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85724</xdr:colOff>
      <xdr:row>22</xdr:row>
      <xdr:rowOff>57150</xdr:rowOff>
    </xdr:from>
    <xdr:to>
      <xdr:col>19</xdr:col>
      <xdr:colOff>400050</xdr:colOff>
      <xdr:row>39</xdr:row>
      <xdr:rowOff>47625</xdr:rowOff>
    </xdr:to>
    <xdr:graphicFrame macro="">
      <xdr:nvGraphicFramePr>
        <xdr:cNvPr id="17" name="Chart 16">
          <a:extLst>
            <a:ext uri="{FF2B5EF4-FFF2-40B4-BE49-F238E27FC236}">
              <a16:creationId xmlns:a16="http://schemas.microsoft.com/office/drawing/2014/main" id="{86FE3855-E5CF-46C8-96C8-A1606D2D1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xdr:colOff>
      <xdr:row>1</xdr:row>
      <xdr:rowOff>85724</xdr:rowOff>
    </xdr:from>
    <xdr:to>
      <xdr:col>4</xdr:col>
      <xdr:colOff>95250</xdr:colOff>
      <xdr:row>2</xdr:row>
      <xdr:rowOff>142874</xdr:rowOff>
    </xdr:to>
    <xdr:sp macro="" textlink="">
      <xdr:nvSpPr>
        <xdr:cNvPr id="18" name="TextBox 17">
          <a:extLst>
            <a:ext uri="{FF2B5EF4-FFF2-40B4-BE49-F238E27FC236}">
              <a16:creationId xmlns:a16="http://schemas.microsoft.com/office/drawing/2014/main" id="{4CF4C4A2-29C3-39BA-C48B-A5AD00CFDF46}"/>
            </a:ext>
          </a:extLst>
        </xdr:cNvPr>
        <xdr:cNvSpPr txBox="1"/>
      </xdr:nvSpPr>
      <xdr:spPr>
        <a:xfrm>
          <a:off x="838200" y="476249"/>
          <a:ext cx="125730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TOTAL REVENUE</a:t>
          </a:r>
          <a:endParaRPr lang="hi-IN" sz="1000"/>
        </a:p>
      </xdr:txBody>
    </xdr:sp>
    <xdr:clientData/>
  </xdr:twoCellAnchor>
  <xdr:twoCellAnchor>
    <xdr:from>
      <xdr:col>4</xdr:col>
      <xdr:colOff>114300</xdr:colOff>
      <xdr:row>1</xdr:row>
      <xdr:rowOff>85724</xdr:rowOff>
    </xdr:from>
    <xdr:to>
      <xdr:col>6</xdr:col>
      <xdr:colOff>152400</xdr:colOff>
      <xdr:row>2</xdr:row>
      <xdr:rowOff>142874</xdr:rowOff>
    </xdr:to>
    <xdr:sp macro="" textlink="">
      <xdr:nvSpPr>
        <xdr:cNvPr id="20" name="TextBox 19">
          <a:extLst>
            <a:ext uri="{FF2B5EF4-FFF2-40B4-BE49-F238E27FC236}">
              <a16:creationId xmlns:a16="http://schemas.microsoft.com/office/drawing/2014/main" id="{980ADD7A-FCA0-C48F-0DC5-74F4ADD9E6F1}"/>
            </a:ext>
          </a:extLst>
        </xdr:cNvPr>
        <xdr:cNvSpPr txBox="1"/>
      </xdr:nvSpPr>
      <xdr:spPr>
        <a:xfrm>
          <a:off x="2114550" y="476249"/>
          <a:ext cx="1257300"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TOTAL PROFIT</a:t>
          </a:r>
          <a:endParaRPr lang="hi-IN" sz="1000"/>
        </a:p>
      </xdr:txBody>
    </xdr:sp>
    <xdr:clientData/>
  </xdr:twoCellAnchor>
  <xdr:twoCellAnchor>
    <xdr:from>
      <xdr:col>6</xdr:col>
      <xdr:colOff>180975</xdr:colOff>
      <xdr:row>1</xdr:row>
      <xdr:rowOff>85724</xdr:rowOff>
    </xdr:from>
    <xdr:to>
      <xdr:col>8</xdr:col>
      <xdr:colOff>352425</xdr:colOff>
      <xdr:row>2</xdr:row>
      <xdr:rowOff>152400</xdr:rowOff>
    </xdr:to>
    <xdr:sp macro="" textlink="">
      <xdr:nvSpPr>
        <xdr:cNvPr id="21" name="TextBox 20">
          <a:extLst>
            <a:ext uri="{FF2B5EF4-FFF2-40B4-BE49-F238E27FC236}">
              <a16:creationId xmlns:a16="http://schemas.microsoft.com/office/drawing/2014/main" id="{64FE2800-FC8C-946C-6A08-C99F2B888BD0}"/>
            </a:ext>
          </a:extLst>
        </xdr:cNvPr>
        <xdr:cNvSpPr txBox="1"/>
      </xdr:nvSpPr>
      <xdr:spPr>
        <a:xfrm>
          <a:off x="3400425" y="476249"/>
          <a:ext cx="1390650" cy="2286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TOTAL UNITS SOLD</a:t>
          </a:r>
          <a:endParaRPr lang="hi-IN" sz="1000"/>
        </a:p>
      </xdr:txBody>
    </xdr:sp>
    <xdr:clientData/>
  </xdr:twoCellAnchor>
  <xdr:twoCellAnchor>
    <xdr:from>
      <xdr:col>8</xdr:col>
      <xdr:colOff>381000</xdr:colOff>
      <xdr:row>1</xdr:row>
      <xdr:rowOff>85724</xdr:rowOff>
    </xdr:from>
    <xdr:to>
      <xdr:col>11</xdr:col>
      <xdr:colOff>228600</xdr:colOff>
      <xdr:row>3</xdr:row>
      <xdr:rowOff>0</xdr:rowOff>
    </xdr:to>
    <xdr:sp macro="" textlink="">
      <xdr:nvSpPr>
        <xdr:cNvPr id="22" name="TextBox 21">
          <a:extLst>
            <a:ext uri="{FF2B5EF4-FFF2-40B4-BE49-F238E27FC236}">
              <a16:creationId xmlns:a16="http://schemas.microsoft.com/office/drawing/2014/main" id="{635B4C24-312E-178D-1F37-C00C709FF409}"/>
            </a:ext>
          </a:extLst>
        </xdr:cNvPr>
        <xdr:cNvSpPr txBox="1"/>
      </xdr:nvSpPr>
      <xdr:spPr>
        <a:xfrm>
          <a:off x="4819650" y="476249"/>
          <a:ext cx="1676400" cy="238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t>AVG</a:t>
          </a:r>
          <a:r>
            <a:rPr lang="en-IN" sz="1000" baseline="0"/>
            <a:t> PROFIT MARGIN %</a:t>
          </a:r>
          <a:endParaRPr lang="hi-IN" sz="1000"/>
        </a:p>
      </xdr:txBody>
    </xdr:sp>
    <xdr:clientData/>
  </xdr:twoCellAnchor>
  <xdr:twoCellAnchor editAs="oneCell">
    <xdr:from>
      <xdr:col>13</xdr:col>
      <xdr:colOff>76200</xdr:colOff>
      <xdr:row>4</xdr:row>
      <xdr:rowOff>95250</xdr:rowOff>
    </xdr:from>
    <xdr:to>
      <xdr:col>19</xdr:col>
      <xdr:colOff>400050</xdr:colOff>
      <xdr:row>7</xdr:row>
      <xdr:rowOff>19050</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3CCF989B-54A8-4B3E-B67E-6066582EE8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562850" y="971550"/>
              <a:ext cx="3981450" cy="40957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1</xdr:row>
      <xdr:rowOff>114300</xdr:rowOff>
    </xdr:from>
    <xdr:to>
      <xdr:col>19</xdr:col>
      <xdr:colOff>400050</xdr:colOff>
      <xdr:row>4</xdr:row>
      <xdr:rowOff>76200</xdr:rowOff>
    </xdr:to>
    <mc:AlternateContent xmlns:mc="http://schemas.openxmlformats.org/markup-compatibility/2006" xmlns:a14="http://schemas.microsoft.com/office/drawing/2010/main">
      <mc:Choice Requires="a14">
        <xdr:graphicFrame macro="">
          <xdr:nvGraphicFramePr>
            <xdr:cNvPr id="24" name="Salesperson 1">
              <a:extLst>
                <a:ext uri="{FF2B5EF4-FFF2-40B4-BE49-F238E27FC236}">
                  <a16:creationId xmlns:a16="http://schemas.microsoft.com/office/drawing/2014/main" id="{508AD802-F91D-433C-BCEB-48224619A903}"/>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7562850" y="504825"/>
              <a:ext cx="3981450" cy="44767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352426</xdr:colOff>
      <xdr:row>1</xdr:row>
      <xdr:rowOff>85725</xdr:rowOff>
    </xdr:from>
    <xdr:to>
      <xdr:col>13</xdr:col>
      <xdr:colOff>66676</xdr:colOff>
      <xdr:row>7</xdr:row>
      <xdr:rowOff>57150</xdr:rowOff>
    </xdr:to>
    <xdr:sp macro="" textlink="">
      <xdr:nvSpPr>
        <xdr:cNvPr id="26" name="Arrow: Right 25">
          <a:extLst>
            <a:ext uri="{FF2B5EF4-FFF2-40B4-BE49-F238E27FC236}">
              <a16:creationId xmlns:a16="http://schemas.microsoft.com/office/drawing/2014/main" id="{676C4F93-2437-A00F-C81E-4C499E940C4F}"/>
            </a:ext>
          </a:extLst>
        </xdr:cNvPr>
        <xdr:cNvSpPr/>
      </xdr:nvSpPr>
      <xdr:spPr>
        <a:xfrm>
          <a:off x="6619876" y="476250"/>
          <a:ext cx="933450" cy="942975"/>
        </a:xfrm>
        <a:prstGeom prst="rightArrow">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hi-IN" sz="1100"/>
        </a:p>
      </xdr:txBody>
    </xdr:sp>
    <xdr:clientData/>
  </xdr:twoCellAnchor>
  <xdr:oneCellAnchor>
    <xdr:from>
      <xdr:col>11</xdr:col>
      <xdr:colOff>343783</xdr:colOff>
      <xdr:row>3</xdr:row>
      <xdr:rowOff>70029</xdr:rowOff>
    </xdr:from>
    <xdr:ext cx="837317" cy="298800"/>
    <xdr:sp macro="" textlink="">
      <xdr:nvSpPr>
        <xdr:cNvPr id="31" name="Rectangle 30">
          <a:extLst>
            <a:ext uri="{FF2B5EF4-FFF2-40B4-BE49-F238E27FC236}">
              <a16:creationId xmlns:a16="http://schemas.microsoft.com/office/drawing/2014/main" id="{20774B98-84B5-7278-5BD7-C143BCC125AF}"/>
            </a:ext>
          </a:extLst>
        </xdr:cNvPr>
        <xdr:cNvSpPr/>
      </xdr:nvSpPr>
      <xdr:spPr>
        <a:xfrm>
          <a:off x="6611233" y="784404"/>
          <a:ext cx="837317" cy="298800"/>
        </a:xfrm>
        <a:prstGeom prst="rect">
          <a:avLst/>
        </a:prstGeom>
        <a:noFill/>
      </xdr:spPr>
      <xdr:txBody>
        <a:bodyPr wrap="square" lIns="91440" tIns="45720" rIns="91440" bIns="45720">
          <a:spAutoFit/>
        </a:bodyP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rPr>
            <a:t>FILTER</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7.569247800922" createdVersion="8" refreshedVersion="8" minRefreshableVersion="3" recordCount="20" xr:uid="{57B2A39E-160C-4105-B306-7481D74DB404}">
  <cacheSource type="worksheet">
    <worksheetSource ref="A1:I21" sheet="Dataset"/>
  </cacheSource>
  <cacheFields count="12">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fieldGroup par="9"/>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acheField>
    <cacheField name="Revenue" numFmtId="1">
      <sharedItems containsSemiMixedTypes="0" containsString="0" containsNumber="1" containsInteger="1" minValue="2800" maxValue="10500"/>
    </cacheField>
    <cacheField name="Discount" numFmtId="9">
      <sharedItems containsSemiMixedTypes="0" containsString="0" containsNumber="1" minValue="0.03" maxValue="0.12"/>
    </cacheField>
    <cacheField name="DiscValue" numFmtId="0">
      <sharedItems containsSemiMixedTypes="0" containsString="0" containsNumber="1" minValue="180" maxValue="675"/>
    </cacheField>
    <cacheField name="Profit" numFmtId="0">
      <sharedItems containsSemiMixedTypes="0" containsString="0" containsNumber="1" containsInteger="1" minValue="400" maxValue="2200"/>
    </cacheField>
    <cacheField name="Months (Date)" numFmtId="0" databaseField="0">
      <fieldGroup base="0">
        <rangePr autoEnd="0" groupBy="months" startDate="2024-01-01T00:00:00" endDate="2024-01-31T00:00:00"/>
        <groupItems count="14">
          <s v="&lt;01-01-2024"/>
          <s v="Jan"/>
          <s v="Feb"/>
          <s v="Mar"/>
          <s v="Apr"/>
          <s v="May"/>
          <s v="Jun"/>
          <s v="Jul"/>
          <s v="Aug"/>
          <s v="Sep"/>
          <s v="Oct"/>
          <s v="Nov"/>
          <s v="Dec"/>
          <s v="&gt;31-01-2024"/>
        </groupItems>
      </fieldGroup>
    </cacheField>
    <cacheField name="Profit Margin% " numFmtId="0" formula=" (Profit/Revenue)*100" databaseField="0"/>
    <cacheField name="Field1" numFmtId="0" formula="DiscValue/Revenue" databaseField="0"/>
  </cacheFields>
  <extLst>
    <ext xmlns:x14="http://schemas.microsoft.com/office/spreadsheetml/2009/9/main" uri="{725AE2AE-9491-48be-B2B4-4EB974FC3084}">
      <x14:pivotCacheDefinition pivotCacheId="1990419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
    <n v="5000"/>
    <n v="0.1"/>
    <n v="500"/>
    <n v="1000"/>
  </r>
  <r>
    <x v="1"/>
    <x v="1"/>
    <x v="1"/>
    <x v="1"/>
    <n v="10"/>
    <n v="7000"/>
    <n v="0.05"/>
    <n v="350"/>
    <n v="1500"/>
  </r>
  <r>
    <x v="2"/>
    <x v="2"/>
    <x v="2"/>
    <x v="2"/>
    <n v="8"/>
    <n v="4000"/>
    <n v="0.08"/>
    <n v="320"/>
    <n v="800"/>
  </r>
  <r>
    <x v="3"/>
    <x v="3"/>
    <x v="3"/>
    <x v="3"/>
    <n v="6"/>
    <n v="3000"/>
    <n v="0.12"/>
    <n v="360"/>
    <n v="600"/>
  </r>
  <r>
    <x v="4"/>
    <x v="0"/>
    <x v="0"/>
    <x v="1"/>
    <n v="12"/>
    <n v="8400"/>
    <n v="7.0000000000000007E-2"/>
    <n v="588"/>
    <n v="1800"/>
  </r>
  <r>
    <x v="5"/>
    <x v="1"/>
    <x v="1"/>
    <x v="0"/>
    <n v="7"/>
    <n v="4900"/>
    <n v="0.06"/>
    <n v="294"/>
    <n v="900"/>
  </r>
  <r>
    <x v="6"/>
    <x v="2"/>
    <x v="2"/>
    <x v="3"/>
    <n v="15"/>
    <n v="10500"/>
    <n v="0.04"/>
    <n v="420"/>
    <n v="2100"/>
  </r>
  <r>
    <x v="7"/>
    <x v="3"/>
    <x v="3"/>
    <x v="2"/>
    <n v="9"/>
    <n v="6200"/>
    <n v="0.09"/>
    <n v="558"/>
    <n v="1200"/>
  </r>
  <r>
    <x v="8"/>
    <x v="0"/>
    <x v="0"/>
    <x v="0"/>
    <n v="4"/>
    <n v="2800"/>
    <n v="0.1"/>
    <n v="280"/>
    <n v="400"/>
  </r>
  <r>
    <x v="9"/>
    <x v="1"/>
    <x v="1"/>
    <x v="1"/>
    <n v="11"/>
    <n v="7700"/>
    <n v="0.03"/>
    <n v="231"/>
    <n v="1600"/>
  </r>
  <r>
    <x v="10"/>
    <x v="2"/>
    <x v="2"/>
    <x v="2"/>
    <n v="6"/>
    <n v="3600"/>
    <n v="0.05"/>
    <n v="180"/>
    <n v="700"/>
  </r>
  <r>
    <x v="11"/>
    <x v="3"/>
    <x v="3"/>
    <x v="3"/>
    <n v="13"/>
    <n v="9100"/>
    <n v="7.0000000000000007E-2"/>
    <n v="637.00000000000011"/>
    <n v="1900"/>
  </r>
  <r>
    <x v="12"/>
    <x v="0"/>
    <x v="0"/>
    <x v="1"/>
    <n v="10"/>
    <n v="8000"/>
    <n v="0.06"/>
    <n v="480"/>
    <n v="1500"/>
  </r>
  <r>
    <x v="13"/>
    <x v="1"/>
    <x v="1"/>
    <x v="0"/>
    <n v="8"/>
    <n v="4800"/>
    <n v="0.08"/>
    <n v="384"/>
    <n v="900"/>
  </r>
  <r>
    <x v="14"/>
    <x v="2"/>
    <x v="2"/>
    <x v="3"/>
    <n v="14"/>
    <n v="9900"/>
    <n v="0.04"/>
    <n v="396"/>
    <n v="2200"/>
  </r>
  <r>
    <x v="15"/>
    <x v="3"/>
    <x v="3"/>
    <x v="2"/>
    <n v="9"/>
    <n v="5700"/>
    <n v="0.11"/>
    <n v="627"/>
    <n v="1100"/>
  </r>
  <r>
    <x v="16"/>
    <x v="0"/>
    <x v="0"/>
    <x v="0"/>
    <n v="12"/>
    <n v="7500"/>
    <n v="0.09"/>
    <n v="675"/>
    <n v="1400"/>
  </r>
  <r>
    <x v="17"/>
    <x v="1"/>
    <x v="1"/>
    <x v="1"/>
    <n v="7"/>
    <n v="5200"/>
    <n v="0.06"/>
    <n v="312"/>
    <n v="1000"/>
  </r>
  <r>
    <x v="18"/>
    <x v="2"/>
    <x v="2"/>
    <x v="2"/>
    <n v="11"/>
    <n v="6800"/>
    <n v="0.05"/>
    <n v="340"/>
    <n v="1300"/>
  </r>
  <r>
    <x v="19"/>
    <x v="3"/>
    <x v="3"/>
    <x v="3"/>
    <n v="5"/>
    <n v="4300"/>
    <n v="7.0000000000000007E-2"/>
    <n v="301.00000000000006"/>
    <n v="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A00CF6-BF00-4F43-A505-1962E040FFC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9"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5">
    <i>
      <x v="1"/>
    </i>
    <i>
      <x/>
    </i>
    <i>
      <x v="3"/>
    </i>
    <i>
      <x v="2"/>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EC9F3-D608-4B15-9F8B-5883B88518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19"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5">
    <i>
      <x v="1"/>
    </i>
    <i>
      <x/>
    </i>
    <i>
      <x v="3"/>
    </i>
    <i>
      <x v="2"/>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6DB6B8-9273-4B4C-8F9A-7C606BE26F0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86:E118" firstHeaderRow="0" firstDataRow="1" firstDataCol="1"/>
  <pivotFields count="12">
    <pivotField axis="axisRow" numFmtId="164" showAll="0" sortType="de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2"/>
            </reference>
          </references>
        </pivotArea>
      </autoSortScope>
    </pivotField>
    <pivotField showAll="0"/>
    <pivotField axis="axisRow" showAll="0" defaultSubtotal="0">
      <items count="4">
        <item x="2"/>
        <item x="3"/>
        <item x="1"/>
        <item x="0"/>
      </items>
    </pivotField>
    <pivotField axis="axisRow" showAll="0" sortType="descending" defaultSubtotal="0">
      <items count="4">
        <item x="0"/>
        <item x="3"/>
        <item x="1"/>
        <item x="2"/>
      </items>
      <autoSortScope>
        <pivotArea dataOnly="0" outline="0" fieldPosition="0">
          <references count="1">
            <reference field="4294967294" count="1" selected="0">
              <x v="2"/>
            </reference>
          </references>
        </pivotArea>
      </autoSortScope>
    </pivotField>
    <pivotField showAll="0"/>
    <pivotField dataField="1"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dataField="1" dragToRow="0" dragToCol="0" dragToPage="0" showAll="0" defaultSubtotal="0"/>
    <pivotField dragToRow="0" dragToCol="0" dragToPage="0" showAll="0" defaultSubtotal="0"/>
  </pivotFields>
  <rowFields count="3">
    <field x="3"/>
    <field x="2"/>
    <field x="0"/>
  </rowFields>
  <rowItems count="32">
    <i>
      <x v="1"/>
    </i>
    <i r="1">
      <x/>
    </i>
    <i r="2">
      <x v="14"/>
    </i>
    <i r="2">
      <x v="6"/>
    </i>
    <i r="1">
      <x v="1"/>
    </i>
    <i r="2">
      <x v="11"/>
    </i>
    <i r="2">
      <x v="3"/>
    </i>
    <i r="2">
      <x v="19"/>
    </i>
    <i>
      <x v="2"/>
    </i>
    <i r="1">
      <x v="2"/>
    </i>
    <i r="2">
      <x v="1"/>
    </i>
    <i r="2">
      <x v="9"/>
    </i>
    <i r="2">
      <x v="17"/>
    </i>
    <i r="1">
      <x v="3"/>
    </i>
    <i r="2">
      <x v="4"/>
    </i>
    <i r="2">
      <x v="12"/>
    </i>
    <i>
      <x v="3"/>
    </i>
    <i r="1">
      <x/>
    </i>
    <i r="2">
      <x v="2"/>
    </i>
    <i r="2">
      <x v="10"/>
    </i>
    <i r="2">
      <x v="18"/>
    </i>
    <i r="1">
      <x v="1"/>
    </i>
    <i r="2">
      <x v="7"/>
    </i>
    <i r="2">
      <x v="15"/>
    </i>
    <i>
      <x/>
    </i>
    <i r="1">
      <x v="2"/>
    </i>
    <i r="2">
      <x v="13"/>
    </i>
    <i r="2">
      <x v="5"/>
    </i>
    <i r="1">
      <x v="3"/>
    </i>
    <i r="2">
      <x/>
    </i>
    <i r="2">
      <x v="16"/>
    </i>
    <i r="2">
      <x v="8"/>
    </i>
  </rowItems>
  <colFields count="1">
    <field x="-2"/>
  </colFields>
  <colItems count="3">
    <i>
      <x/>
    </i>
    <i i="1">
      <x v="1"/>
    </i>
    <i i="2">
      <x v="2"/>
    </i>
  </colItems>
  <dataFields count="3">
    <dataField name="Revenue_" fld="5" baseField="0" baseItem="0"/>
    <dataField name="Profit_" fld="8" baseField="0" baseItem="0"/>
    <dataField name="Profit_Margin% " fld="10" baseField="0" baseItem="0" numFmtId="165"/>
  </dataFields>
  <formats count="1">
    <format dxfId="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0A2C7-2FCA-4E49-8B8F-7B70C2188C68}" name="PivotTable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B24:C25"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sortType="descending">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pivotField showAll="0"/>
    <pivotField dataField="1" showAll="0"/>
    <pivotField numFmtId="9"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9"/>
  </rowFields>
  <rowItems count="1">
    <i>
      <x v="1"/>
    </i>
  </rowItems>
  <colItems count="1">
    <i/>
  </colItems>
  <dataFields count="1">
    <dataField name="Sum of Revenue" fld="5" baseField="0" baseItem="0"/>
  </dataFields>
  <pivotTableStyleInfo name="PivotStyleLight16" showRowHeaders="1" showColHeaders="1" showRowStripes="0" showColStripes="0" showLastColumn="1"/>
  <filters count="1">
    <filter fld="0" type="dateBetween" evalOrder="-1" id="22"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6C780B-4945-4F19-BD16-3B82937FBDC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1:C76"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BB47E8-C10B-4A6F-9073-29B31372AB6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62:E66" firstHeaderRow="0"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sortType="descending" defaultSubtotal="0">
      <items count="4">
        <item x="0"/>
        <item x="2"/>
        <item x="3"/>
        <item x="1"/>
      </items>
      <autoSortScope>
        <pivotArea dataOnly="0" outline="0" fieldPosition="0">
          <references count="1">
            <reference field="4294967294" count="1" selected="0">
              <x v="2"/>
            </reference>
          </references>
        </pivotArea>
      </autoSortScope>
    </pivotField>
    <pivotField showAll="0">
      <items count="5">
        <item x="2"/>
        <item x="3"/>
        <item x="1"/>
        <item x="0"/>
        <item t="default"/>
      </items>
    </pivotField>
    <pivotField showAll="0"/>
    <pivotField showAll="0"/>
    <pivotField dataField="1" showAll="0"/>
    <pivotField numFmtId="9" showAll="0"/>
    <pivotField dataField="1"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ataField="1" dragToRow="0" dragToCol="0" dragToPage="0" showAll="0" defaultSubtotal="0"/>
  </pivotFields>
  <rowFields count="1">
    <field x="1"/>
  </rowFields>
  <rowItems count="4">
    <i>
      <x v="2"/>
    </i>
    <i>
      <x/>
    </i>
    <i>
      <x v="3"/>
    </i>
    <i>
      <x v="1"/>
    </i>
  </rowItems>
  <colFields count="1">
    <field x="-2"/>
  </colFields>
  <colItems count="3">
    <i>
      <x/>
    </i>
    <i i="1">
      <x v="1"/>
    </i>
    <i i="2">
      <x v="2"/>
    </i>
  </colItems>
  <dataFields count="3">
    <dataField name="Revenue_" fld="5" baseField="1" baseItem="0"/>
    <dataField name="DiscValue_" fld="7" baseField="1" baseItem="0"/>
    <dataField name="AvgDisc" fld="11" baseField="1" baseItem="0" numFmtId="10"/>
  </dataFields>
  <formats count="1">
    <format dxfId="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239EC4-0EE6-494F-B947-A5E47556E1C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9:C54"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
  </rowFields>
  <rowItems count="5">
    <i>
      <x/>
    </i>
    <i>
      <x v="3"/>
    </i>
    <i>
      <x v="2"/>
    </i>
    <i>
      <x v="1"/>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6C0F85-7455-4829-9407-1B636432F44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9:C44"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sortType="descending">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3"/>
  </rowFields>
  <rowItems count="5">
    <i>
      <x v="2"/>
    </i>
    <i>
      <x v="1"/>
    </i>
    <i>
      <x/>
    </i>
    <i>
      <x v="3"/>
    </i>
    <i t="grand">
      <x/>
    </i>
  </rowItems>
  <colItems count="1">
    <i/>
  </colItems>
  <dataFields count="1">
    <dataField name="Sum of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0819AC-E6B2-4A75-9224-4D974BEAEADF}" name="Dashboard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16:C18"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h="1" x="3"/>
        <item x="1"/>
        <item t="default"/>
      </items>
    </pivotField>
    <pivotField axis="axisRow" showAll="0">
      <items count="5">
        <item h="1" x="2"/>
        <item h="1" x="3"/>
        <item x="1"/>
        <item h="1" x="0"/>
        <item t="default"/>
      </items>
    </pivotField>
    <pivotField showAll="0">
      <items count="5">
        <item h="1" x="0"/>
        <item h="1" x="3"/>
        <item h="1"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2"/>
  </rowFields>
  <rowItems count="2">
    <i>
      <x v="2"/>
    </i>
    <i t="grand">
      <x/>
    </i>
  </rowItems>
  <colItems count="1">
    <i/>
  </colItems>
  <dataFields count="1">
    <dataField name="Revenue By Salesman" fld="5"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7CEF6D-FA5E-4008-B7E4-8128DAEEA4F2}" name="Dashboard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8:C10"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5">
        <item h="1" x="0"/>
        <item h="1" x="2"/>
        <item h="1" x="3"/>
        <item x="1"/>
        <item t="default"/>
      </items>
      <autoSortScope>
        <pivotArea dataOnly="0" outline="0" fieldPosition="0">
          <references count="1">
            <reference field="4294967294" count="1" selected="0">
              <x v="0"/>
            </reference>
          </references>
        </pivotArea>
      </autoSortScope>
    </pivotField>
    <pivotField showAll="0">
      <items count="5">
        <item h="1" x="2"/>
        <item h="1" x="3"/>
        <item x="1"/>
        <item h="1" x="0"/>
        <item t="default"/>
      </items>
    </pivotField>
    <pivotField showAll="0">
      <items count="5">
        <item h="1" x="0"/>
        <item h="1" x="3"/>
        <item h="1"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1"/>
  </rowFields>
  <rowItems count="2">
    <i>
      <x v="3"/>
    </i>
    <i t="grand">
      <x/>
    </i>
  </rowItems>
  <colItems count="1">
    <i/>
  </colItems>
  <dataFields count="1">
    <dataField name="Revenue By Region" fld="5" baseField="1" baseItem="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E1406C-6101-4B24-A93B-8B91F1876FBD}" name="Dashboard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B24:C27" firstHeaderRow="1" firstDataRow="1" firstDataCol="1"/>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h="1" x="3"/>
        <item x="1"/>
        <item t="default"/>
      </items>
    </pivotField>
    <pivotField showAll="0">
      <items count="5">
        <item h="1" x="2"/>
        <item h="1" x="3"/>
        <item x="1"/>
        <item h="1" x="0"/>
        <item t="default"/>
      </items>
    </pivotField>
    <pivotField axis="axisRow" showAll="0">
      <items count="5">
        <item x="0"/>
        <item x="3"/>
        <item x="1"/>
        <item x="2"/>
        <item t="default"/>
      </items>
    </pivotField>
    <pivotField showAll="0"/>
    <pivotField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3"/>
  </rowFields>
  <rowItems count="3">
    <i>
      <x/>
    </i>
    <i>
      <x v="2"/>
    </i>
    <i t="grand">
      <x/>
    </i>
  </rowItems>
  <colItems count="1">
    <i/>
  </colItems>
  <dataFields count="1">
    <dataField name="Profit By Products" fld="8"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F7FCCC-5BE3-4EF6-805C-3B8CA7902855}" name="Dashboard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h="1" x="3"/>
        <item x="1"/>
        <item t="default"/>
      </items>
    </pivotField>
    <pivotField showAll="0">
      <items count="5">
        <item h="1" x="2"/>
        <item h="1" x="3"/>
        <item x="1"/>
        <item h="1" x="0"/>
        <item t="default"/>
      </items>
    </pivotField>
    <pivotField showAll="0">
      <items count="5">
        <item h="1" x="0"/>
        <item h="1" x="3"/>
        <item h="1" x="1"/>
        <item x="2"/>
        <item t="default"/>
      </items>
    </pivotField>
    <pivotField dataField="1"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Total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2E416-ADF8-4826-A1AA-63BA6EC144F2}" name="Dashboard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h="1" x="3"/>
        <item x="1"/>
        <item t="default"/>
      </items>
    </pivotField>
    <pivotField showAll="0">
      <items count="5">
        <item h="1" x="2"/>
        <item h="1" x="3"/>
        <item x="1"/>
        <item h="1" x="0"/>
        <item t="default"/>
      </items>
    </pivotField>
    <pivotField showAll="0">
      <items count="5">
        <item h="1" x="0"/>
        <item h="1" x="3"/>
        <item h="1" x="1"/>
        <item x="2"/>
        <item t="default"/>
      </items>
    </pivotField>
    <pivotField showAll="0"/>
    <pivotField showAll="0"/>
    <pivotField numFmtId="9" showAll="0"/>
    <pivotField showAll="0"/>
    <pivotField dataField="1"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Total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D49628-BD13-4FE5-B7F6-00F10C53CF70}" name="Dashboard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sortType="descending">
      <items count="5">
        <item h="1" x="0"/>
        <item h="1" x="2"/>
        <item h="1" x="3"/>
        <item x="1"/>
        <item t="default"/>
      </items>
      <autoSortScope>
        <pivotArea dataOnly="0" outline="0" fieldPosition="0">
          <references count="1">
            <reference field="4294967294" count="1" selected="0">
              <x v="0"/>
            </reference>
          </references>
        </pivotArea>
      </autoSortScope>
    </pivotField>
    <pivotField showAll="0">
      <items count="5">
        <item h="1" x="2"/>
        <item h="1" x="3"/>
        <item x="1"/>
        <item h="1" x="0"/>
        <item t="default"/>
      </items>
    </pivotField>
    <pivotField showAll="0">
      <items count="5">
        <item h="1" x="0"/>
        <item h="1" x="3"/>
        <item h="1"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Items count="1">
    <i/>
  </rowItems>
  <colItems count="1">
    <i/>
  </colItems>
  <dataFields count="1">
    <dataField name="Total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18F0CE-A02B-4C30-9587-44B2984C3273}" name="Dashboard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B32:C38" firstHeaderRow="1" firstDataRow="1" firstDataCol="1"/>
  <pivotFields count="12">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h="1" x="3"/>
        <item x="1"/>
        <item t="default"/>
      </items>
    </pivotField>
    <pivotField showAll="0">
      <items count="5">
        <item h="1" x="2"/>
        <item h="1" x="3"/>
        <item x="1"/>
        <item h="1" x="0"/>
        <item t="default"/>
      </items>
    </pivotField>
    <pivotField showAll="0">
      <items count="5">
        <item h="1" x="0"/>
        <item h="1" x="3"/>
        <item h="1" x="1"/>
        <item x="2"/>
        <item t="default"/>
      </items>
    </pivotField>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 dragToRow="0" dragToCol="0" dragToPage="0" showAll="0" defaultSubtotal="0"/>
  </pivotFields>
  <rowFields count="1">
    <field x="0"/>
  </rowFields>
  <rowItems count="6">
    <i>
      <x v="1"/>
    </i>
    <i>
      <x v="5"/>
    </i>
    <i>
      <x v="9"/>
    </i>
    <i>
      <x v="13"/>
    </i>
    <i>
      <x v="17"/>
    </i>
    <i t="grand">
      <x/>
    </i>
  </rowItems>
  <colItems count="1">
    <i/>
  </colItems>
  <dataFields count="1">
    <dataField name="Revenue Trend Char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F5DA913-D6AF-473D-AA7D-28C420A934B5}" name="Dashboard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12">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h="1" x="0"/>
        <item h="1" x="2"/>
        <item h="1" x="3"/>
        <item x="1"/>
        <item t="default"/>
      </items>
    </pivotField>
    <pivotField showAll="0">
      <items count="5">
        <item h="1" x="2"/>
        <item h="1" x="3"/>
        <item x="1"/>
        <item h="1" x="0"/>
        <item t="default"/>
      </items>
    </pivotField>
    <pivotField showAll="0">
      <items count="5">
        <item h="1" x="0"/>
        <item h="1" x="3"/>
        <item h="1" x="1"/>
        <item x="2"/>
        <item t="default"/>
      </items>
    </pivotField>
    <pivotField showAll="0"/>
    <pivotField showAll="0"/>
    <pivotField numFmtId="9" showAll="0"/>
    <pivotField showAll="0"/>
    <pivotField showAll="0"/>
    <pivotField showAll="0">
      <items count="15">
        <item x="0"/>
        <item x="1"/>
        <item x="2"/>
        <item x="3"/>
        <item x="4"/>
        <item x="5"/>
        <item x="6"/>
        <item x="7"/>
        <item x="8"/>
        <item x="9"/>
        <item x="10"/>
        <item x="11"/>
        <item x="12"/>
        <item x="13"/>
        <item t="default"/>
      </items>
    </pivotField>
    <pivotField dataField="1" dragToRow="0" dragToCol="0" dragToPage="0" showAll="0" defaultSubtotal="0"/>
    <pivotField dragToRow="0" dragToCol="0" dragToPage="0" showAll="0" defaultSubtotal="0"/>
  </pivotFields>
  <rowItems count="1">
    <i/>
  </rowItems>
  <colItems count="1">
    <i/>
  </colItems>
  <dataFields count="1">
    <dataField name="Profit Margin % " fld="10" baseField="0" baseItem="0"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E7CAB4D-3CE5-4B38-B92F-AF533D036ED9}" sourceName="Salesperson">
  <pivotTables>
    <pivotTable tabId="2" name="PivotTable2"/>
  </pivotTables>
  <data>
    <tabular pivotCacheId="199041962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BA343AF-9447-465F-9D56-6D580DD31E6E}" sourceName="Product">
  <pivotTables>
    <pivotTable tabId="2" name="PivotTable8"/>
  </pivotTables>
  <data>
    <tabular pivotCacheId="1990419621">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733A13-38CB-4595-8E82-706646CCA474}" sourceName="Region">
  <pivotTables>
    <pivotTable tabId="2" name="PivotTable7"/>
  </pivotTables>
  <data>
    <tabular pivotCacheId="1990419621">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03E7D11-C488-4115-8268-3461EEE09DA9}" sourceName="Region">
  <pivotTables>
    <pivotTable tabId="7" name="Dashboard1"/>
    <pivotTable tabId="7" name="Dashboard2"/>
    <pivotTable tabId="7" name="Dashboard3"/>
    <pivotTable tabId="7" name="Dashboard4"/>
    <pivotTable tabId="7" name="Dashboard5"/>
    <pivotTable tabId="7" name="Dashboard6"/>
    <pivotTable tabId="7" name="Dashboard7"/>
    <pivotTable tabId="7" name="Dashboard8"/>
  </pivotTables>
  <data>
    <tabular pivotCacheId="1990419621">
      <items count="4">
        <i x="1" s="1"/>
        <i x="0" nd="1"/>
        <i x="2"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844A320B-BEA2-4EAD-8E3F-FCA26F87E863}" sourceName="Salesperson">
  <pivotTables>
    <pivotTable tabId="7" name="Dashboard5"/>
    <pivotTable tabId="7" name="Dashboard1"/>
    <pivotTable tabId="7" name="Dashboard2"/>
    <pivotTable tabId="7" name="Dashboard3"/>
    <pivotTable tabId="7" name="Dashboard4"/>
    <pivotTable tabId="7" name="Dashboard6"/>
    <pivotTable tabId="7" name="Dashboard7"/>
    <pivotTable tabId="7" name="Dashboard8"/>
  </pivotTables>
  <data>
    <tabular pivotCacheId="1990419621">
      <items count="4">
        <i x="1" s="1"/>
        <i x="2" nd="1"/>
        <i x="3"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C2016125-985D-4356-B936-318C29A01D13}" cache="Slicer_Salesperson" caption="Salesperson" columnCount="2" showCaption="0" rowHeight="225425"/>
  <slicer name="Product" xr10:uid="{5A54BAA5-4C38-49A3-896D-80F42F2F1B31}" cache="Slicer_Product" caption="Product" startItem="2" columnCount="2" rowHeight="225425"/>
  <slicer name="Region" xr10:uid="{F8DA3D13-5036-44A7-A536-CF94D1127EC3}" cache="Slicer_Region" caption="Region" columnCount="4" showCaption="0"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7117AD5-062B-4E56-B3C1-CB5134E9ECF3}" cache="Slicer_Region1" caption="Region" columnCount="4" showCaption="0" rowHeight="216000"/>
  <slicer name="Salesperson 1" xr10:uid="{ED5ED483-D660-4BD1-A3DB-6E74DEEA0C22}" cache="Slicer_Salesperson1" caption="Salesperson" columnCount="4" showCaption="0"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4EB201-3BBE-4D1B-B67D-850C7DD53B29}" name="SalesData" displayName="SalesData" ref="A1:I21" totalsRowShown="0" headerRowDxfId="17" tableBorderDxfId="16">
  <autoFilter ref="A1:I21" xr:uid="{8D4EB201-3BBE-4D1B-B67D-850C7DD53B29}"/>
  <tableColumns count="9">
    <tableColumn id="1" xr3:uid="{3DA6FDD3-1242-492A-8D34-7C528A9C7C0F}" name="Date" dataDxfId="15"/>
    <tableColumn id="2" xr3:uid="{951BFB4F-7751-4614-BC4C-2159075EE25F}" name="Region" dataDxfId="14"/>
    <tableColumn id="3" xr3:uid="{F5A516A0-7030-4DAB-81CA-26B92C56684C}" name="Salesperson" dataDxfId="13"/>
    <tableColumn id="4" xr3:uid="{3B795ABC-596B-4C69-AA24-DA0A1ECDC2C0}" name="Product" dataDxfId="12"/>
    <tableColumn id="5" xr3:uid="{D6ED38DB-69F2-4EEC-8218-4B5E7808D871}" name="Units Sold" dataDxfId="11"/>
    <tableColumn id="6" xr3:uid="{47C29C92-CA78-436E-BE6C-71EA1A48851D}" name="Revenue" dataDxfId="10"/>
    <tableColumn id="7" xr3:uid="{A53ACC9D-1131-4E72-BF44-1EC3DD411F12}" name="Discount" dataDxfId="9"/>
    <tableColumn id="8" xr3:uid="{EDEDF74B-64CC-4CB9-A44D-E52F51068C56}" name="DiscValue">
      <calculatedColumnFormula>Dataset!$F2*Dataset!$G2</calculatedColumnFormula>
    </tableColumn>
    <tableColumn id="9" xr3:uid="{21ADE410-A2F0-45ED-BCF0-8700161812CD}" name="Profit" dataDxfId="8"/>
  </tableColumns>
  <tableStyleInfo name="Table Style 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A3041E6-3722-4750-937E-3464BE66307F}" sourceName="Date">
  <pivotTables>
    <pivotTable tabId="2" name="PivotTable3"/>
  </pivotTables>
  <state minimalRefreshVersion="6" lastRefreshVersion="6" pivotCacheId="1990419621"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D41D052-A682-4F9B-B84B-557E2FEAF3FC}" cache="NativeTimeline_Date" caption="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1"/>
  <sheetViews>
    <sheetView tabSelected="1" workbookViewId="0">
      <selection sqref="A1:I21"/>
    </sheetView>
  </sheetViews>
  <sheetFormatPr defaultColWidth="12.5546875" defaultRowHeight="15.75" customHeight="1" x14ac:dyDescent="0.25"/>
  <cols>
    <col min="3" max="3" width="14.33203125" customWidth="1"/>
  </cols>
  <sheetData>
    <row r="1" spans="1:9" ht="15.75" customHeight="1" x14ac:dyDescent="0.25">
      <c r="A1" s="8" t="s">
        <v>0</v>
      </c>
      <c r="B1" s="8" t="s">
        <v>1</v>
      </c>
      <c r="C1" s="8" t="s">
        <v>2</v>
      </c>
      <c r="D1" s="8" t="s">
        <v>3</v>
      </c>
      <c r="E1" s="8" t="s">
        <v>4</v>
      </c>
      <c r="F1" s="8" t="s">
        <v>5</v>
      </c>
      <c r="G1" s="9" t="s">
        <v>6</v>
      </c>
      <c r="H1" s="10" t="s">
        <v>38</v>
      </c>
      <c r="I1" s="8" t="s">
        <v>7</v>
      </c>
    </row>
    <row r="2" spans="1:9" ht="15.75" customHeight="1" x14ac:dyDescent="0.25">
      <c r="A2" s="19">
        <v>45292</v>
      </c>
      <c r="B2" s="11" t="s">
        <v>8</v>
      </c>
      <c r="C2" s="11" t="s">
        <v>9</v>
      </c>
      <c r="D2" s="11" t="s">
        <v>10</v>
      </c>
      <c r="E2" s="11">
        <v>5</v>
      </c>
      <c r="F2" s="12">
        <v>5000</v>
      </c>
      <c r="G2" s="13">
        <v>0.1</v>
      </c>
      <c r="H2">
        <f>Dataset!$F2*Dataset!$G2</f>
        <v>500</v>
      </c>
      <c r="I2" s="11">
        <v>1000</v>
      </c>
    </row>
    <row r="3" spans="1:9" ht="15.75" customHeight="1" x14ac:dyDescent="0.25">
      <c r="A3" s="19">
        <v>45293</v>
      </c>
      <c r="B3" s="11" t="s">
        <v>11</v>
      </c>
      <c r="C3" s="11" t="s">
        <v>12</v>
      </c>
      <c r="D3" s="11" t="s">
        <v>13</v>
      </c>
      <c r="E3" s="11">
        <v>10</v>
      </c>
      <c r="F3" s="12">
        <v>7000</v>
      </c>
      <c r="G3" s="13">
        <v>0.05</v>
      </c>
      <c r="H3">
        <f>Dataset!$F3*Dataset!$G3</f>
        <v>350</v>
      </c>
      <c r="I3" s="11">
        <v>1500</v>
      </c>
    </row>
    <row r="4" spans="1:9" ht="15.75" customHeight="1" x14ac:dyDescent="0.25">
      <c r="A4" s="19">
        <v>45294</v>
      </c>
      <c r="B4" s="11" t="s">
        <v>14</v>
      </c>
      <c r="C4" s="11" t="s">
        <v>15</v>
      </c>
      <c r="D4" s="11" t="s">
        <v>16</v>
      </c>
      <c r="E4" s="11">
        <v>8</v>
      </c>
      <c r="F4" s="12">
        <v>4000</v>
      </c>
      <c r="G4" s="13">
        <v>0.08</v>
      </c>
      <c r="H4">
        <f>Dataset!$F4*Dataset!$G4</f>
        <v>320</v>
      </c>
      <c r="I4" s="11">
        <v>800</v>
      </c>
    </row>
    <row r="5" spans="1:9" ht="15.75" customHeight="1" x14ac:dyDescent="0.25">
      <c r="A5" s="19">
        <v>45295</v>
      </c>
      <c r="B5" s="11" t="s">
        <v>17</v>
      </c>
      <c r="C5" s="11" t="s">
        <v>18</v>
      </c>
      <c r="D5" s="11" t="s">
        <v>19</v>
      </c>
      <c r="E5" s="11">
        <v>6</v>
      </c>
      <c r="F5" s="12">
        <v>3000</v>
      </c>
      <c r="G5" s="13">
        <v>0.12</v>
      </c>
      <c r="H5">
        <f>Dataset!$F5*Dataset!$G5</f>
        <v>360</v>
      </c>
      <c r="I5" s="11">
        <v>600</v>
      </c>
    </row>
    <row r="6" spans="1:9" ht="15.75" customHeight="1" x14ac:dyDescent="0.25">
      <c r="A6" s="19">
        <v>45296</v>
      </c>
      <c r="B6" s="11" t="s">
        <v>8</v>
      </c>
      <c r="C6" s="11" t="s">
        <v>9</v>
      </c>
      <c r="D6" s="11" t="s">
        <v>13</v>
      </c>
      <c r="E6" s="11">
        <v>12</v>
      </c>
      <c r="F6" s="12">
        <v>8400</v>
      </c>
      <c r="G6" s="13">
        <v>7.0000000000000007E-2</v>
      </c>
      <c r="H6">
        <f>Dataset!$F6*Dataset!$G6</f>
        <v>588</v>
      </c>
      <c r="I6" s="11">
        <v>1800</v>
      </c>
    </row>
    <row r="7" spans="1:9" ht="15.75" customHeight="1" x14ac:dyDescent="0.25">
      <c r="A7" s="19">
        <v>45297</v>
      </c>
      <c r="B7" s="11" t="s">
        <v>11</v>
      </c>
      <c r="C7" s="11" t="s">
        <v>12</v>
      </c>
      <c r="D7" s="11" t="s">
        <v>10</v>
      </c>
      <c r="E7" s="11">
        <v>7</v>
      </c>
      <c r="F7" s="12">
        <v>4900</v>
      </c>
      <c r="G7" s="13">
        <v>0.06</v>
      </c>
      <c r="H7">
        <f>Dataset!$F7*Dataset!$G7</f>
        <v>294</v>
      </c>
      <c r="I7" s="11">
        <v>900</v>
      </c>
    </row>
    <row r="8" spans="1:9" ht="15.75" customHeight="1" x14ac:dyDescent="0.25">
      <c r="A8" s="19">
        <v>45298</v>
      </c>
      <c r="B8" s="11" t="s">
        <v>14</v>
      </c>
      <c r="C8" s="11" t="s">
        <v>15</v>
      </c>
      <c r="D8" s="11" t="s">
        <v>19</v>
      </c>
      <c r="E8" s="11">
        <v>15</v>
      </c>
      <c r="F8" s="12">
        <v>10500</v>
      </c>
      <c r="G8" s="13">
        <v>0.04</v>
      </c>
      <c r="H8">
        <f>Dataset!$F8*Dataset!$G8</f>
        <v>420</v>
      </c>
      <c r="I8" s="11">
        <v>2100</v>
      </c>
    </row>
    <row r="9" spans="1:9" ht="15.75" customHeight="1" x14ac:dyDescent="0.25">
      <c r="A9" s="19">
        <v>45299</v>
      </c>
      <c r="B9" s="11" t="s">
        <v>17</v>
      </c>
      <c r="C9" s="11" t="s">
        <v>18</v>
      </c>
      <c r="D9" s="11" t="s">
        <v>16</v>
      </c>
      <c r="E9" s="11">
        <v>9</v>
      </c>
      <c r="F9" s="12">
        <v>6200</v>
      </c>
      <c r="G9" s="13">
        <v>0.09</v>
      </c>
      <c r="H9">
        <f>Dataset!$F9*Dataset!$G9</f>
        <v>558</v>
      </c>
      <c r="I9" s="11">
        <v>1200</v>
      </c>
    </row>
    <row r="10" spans="1:9" ht="15.75" customHeight="1" x14ac:dyDescent="0.25">
      <c r="A10" s="19">
        <v>45300</v>
      </c>
      <c r="B10" s="11" t="s">
        <v>8</v>
      </c>
      <c r="C10" s="11" t="s">
        <v>9</v>
      </c>
      <c r="D10" s="11" t="s">
        <v>10</v>
      </c>
      <c r="E10" s="11">
        <v>4</v>
      </c>
      <c r="F10" s="12">
        <v>2800</v>
      </c>
      <c r="G10" s="13">
        <v>0.1</v>
      </c>
      <c r="H10">
        <f>Dataset!$F10*Dataset!$G10</f>
        <v>280</v>
      </c>
      <c r="I10" s="11">
        <v>400</v>
      </c>
    </row>
    <row r="11" spans="1:9" ht="15.75" customHeight="1" x14ac:dyDescent="0.25">
      <c r="A11" s="19">
        <v>45301</v>
      </c>
      <c r="B11" s="11" t="s">
        <v>11</v>
      </c>
      <c r="C11" s="11" t="s">
        <v>12</v>
      </c>
      <c r="D11" s="11" t="s">
        <v>13</v>
      </c>
      <c r="E11" s="11">
        <v>11</v>
      </c>
      <c r="F11" s="12">
        <v>7700</v>
      </c>
      <c r="G11" s="13">
        <v>0.03</v>
      </c>
      <c r="H11">
        <f>Dataset!$F11*Dataset!$G11</f>
        <v>231</v>
      </c>
      <c r="I11" s="11">
        <v>1600</v>
      </c>
    </row>
    <row r="12" spans="1:9" ht="15.75" customHeight="1" x14ac:dyDescent="0.25">
      <c r="A12" s="19">
        <v>45302</v>
      </c>
      <c r="B12" s="11" t="s">
        <v>14</v>
      </c>
      <c r="C12" s="11" t="s">
        <v>15</v>
      </c>
      <c r="D12" s="11" t="s">
        <v>16</v>
      </c>
      <c r="E12" s="11">
        <v>6</v>
      </c>
      <c r="F12" s="12">
        <v>3600</v>
      </c>
      <c r="G12" s="13">
        <v>0.05</v>
      </c>
      <c r="H12">
        <f>Dataset!$F12*Dataset!$G12</f>
        <v>180</v>
      </c>
      <c r="I12" s="11">
        <v>700</v>
      </c>
    </row>
    <row r="13" spans="1:9" ht="15.75" customHeight="1" x14ac:dyDescent="0.25">
      <c r="A13" s="19">
        <v>45303</v>
      </c>
      <c r="B13" s="11" t="s">
        <v>17</v>
      </c>
      <c r="C13" s="11" t="s">
        <v>18</v>
      </c>
      <c r="D13" s="11" t="s">
        <v>19</v>
      </c>
      <c r="E13" s="11">
        <v>13</v>
      </c>
      <c r="F13" s="12">
        <v>9100</v>
      </c>
      <c r="G13" s="13">
        <v>7.0000000000000007E-2</v>
      </c>
      <c r="H13">
        <f>Dataset!$F13*Dataset!$G13</f>
        <v>637.00000000000011</v>
      </c>
      <c r="I13" s="11">
        <v>1900</v>
      </c>
    </row>
    <row r="14" spans="1:9" ht="15.75" customHeight="1" x14ac:dyDescent="0.25">
      <c r="A14" s="19">
        <v>45304</v>
      </c>
      <c r="B14" s="11" t="s">
        <v>8</v>
      </c>
      <c r="C14" s="11" t="s">
        <v>9</v>
      </c>
      <c r="D14" s="11" t="s">
        <v>13</v>
      </c>
      <c r="E14" s="11">
        <v>10</v>
      </c>
      <c r="F14" s="12">
        <v>8000</v>
      </c>
      <c r="G14" s="13">
        <v>0.06</v>
      </c>
      <c r="H14">
        <f>Dataset!$F14*Dataset!$G14</f>
        <v>480</v>
      </c>
      <c r="I14" s="11">
        <v>1500</v>
      </c>
    </row>
    <row r="15" spans="1:9" ht="15.75" customHeight="1" x14ac:dyDescent="0.25">
      <c r="A15" s="19">
        <v>45305</v>
      </c>
      <c r="B15" s="11" t="s">
        <v>11</v>
      </c>
      <c r="C15" s="11" t="s">
        <v>12</v>
      </c>
      <c r="D15" s="11" t="s">
        <v>10</v>
      </c>
      <c r="E15" s="11">
        <v>8</v>
      </c>
      <c r="F15" s="12">
        <v>4800</v>
      </c>
      <c r="G15" s="13">
        <v>0.08</v>
      </c>
      <c r="H15">
        <f>Dataset!$F15*Dataset!$G15</f>
        <v>384</v>
      </c>
      <c r="I15" s="11">
        <v>900</v>
      </c>
    </row>
    <row r="16" spans="1:9" ht="15.75" customHeight="1" x14ac:dyDescent="0.25">
      <c r="A16" s="19">
        <v>45306</v>
      </c>
      <c r="B16" s="11" t="s">
        <v>14</v>
      </c>
      <c r="C16" s="11" t="s">
        <v>15</v>
      </c>
      <c r="D16" s="11" t="s">
        <v>19</v>
      </c>
      <c r="E16" s="11">
        <v>14</v>
      </c>
      <c r="F16" s="12">
        <v>9900</v>
      </c>
      <c r="G16" s="13">
        <v>0.04</v>
      </c>
      <c r="H16">
        <f>Dataset!$F16*Dataset!$G16</f>
        <v>396</v>
      </c>
      <c r="I16" s="11">
        <v>2200</v>
      </c>
    </row>
    <row r="17" spans="1:9" ht="15.75" customHeight="1" x14ac:dyDescent="0.25">
      <c r="A17" s="19">
        <v>45307</v>
      </c>
      <c r="B17" s="11" t="s">
        <v>17</v>
      </c>
      <c r="C17" s="11" t="s">
        <v>18</v>
      </c>
      <c r="D17" s="11" t="s">
        <v>16</v>
      </c>
      <c r="E17" s="11">
        <v>9</v>
      </c>
      <c r="F17" s="12">
        <v>5700</v>
      </c>
      <c r="G17" s="13">
        <v>0.11</v>
      </c>
      <c r="H17">
        <f>Dataset!$F17*Dataset!$G17</f>
        <v>627</v>
      </c>
      <c r="I17" s="11">
        <v>1100</v>
      </c>
    </row>
    <row r="18" spans="1:9" ht="15.75" customHeight="1" x14ac:dyDescent="0.25">
      <c r="A18" s="19">
        <v>45308</v>
      </c>
      <c r="B18" s="11" t="s">
        <v>8</v>
      </c>
      <c r="C18" s="11" t="s">
        <v>9</v>
      </c>
      <c r="D18" s="11" t="s">
        <v>10</v>
      </c>
      <c r="E18" s="11">
        <v>12</v>
      </c>
      <c r="F18" s="12">
        <v>7500</v>
      </c>
      <c r="G18" s="13">
        <v>0.09</v>
      </c>
      <c r="H18">
        <f>Dataset!$F18*Dataset!$G18</f>
        <v>675</v>
      </c>
      <c r="I18" s="11">
        <v>1400</v>
      </c>
    </row>
    <row r="19" spans="1:9" ht="15.75" customHeight="1" x14ac:dyDescent="0.25">
      <c r="A19" s="19">
        <v>45309</v>
      </c>
      <c r="B19" s="11" t="s">
        <v>11</v>
      </c>
      <c r="C19" s="11" t="s">
        <v>12</v>
      </c>
      <c r="D19" s="11" t="s">
        <v>13</v>
      </c>
      <c r="E19" s="11">
        <v>7</v>
      </c>
      <c r="F19" s="12">
        <v>5200</v>
      </c>
      <c r="G19" s="13">
        <v>0.06</v>
      </c>
      <c r="H19">
        <f>Dataset!$F19*Dataset!$G19</f>
        <v>312</v>
      </c>
      <c r="I19" s="11">
        <v>1000</v>
      </c>
    </row>
    <row r="20" spans="1:9" ht="15.75" customHeight="1" x14ac:dyDescent="0.25">
      <c r="A20" s="19">
        <v>45310</v>
      </c>
      <c r="B20" s="11" t="s">
        <v>14</v>
      </c>
      <c r="C20" s="11" t="s">
        <v>15</v>
      </c>
      <c r="D20" s="11" t="s">
        <v>16</v>
      </c>
      <c r="E20" s="11">
        <v>11</v>
      </c>
      <c r="F20" s="12">
        <v>6800</v>
      </c>
      <c r="G20" s="13">
        <v>0.05</v>
      </c>
      <c r="H20">
        <f>Dataset!$F20*Dataset!$G20</f>
        <v>340</v>
      </c>
      <c r="I20" s="11">
        <v>1300</v>
      </c>
    </row>
    <row r="21" spans="1:9" ht="15.75" customHeight="1" x14ac:dyDescent="0.25">
      <c r="A21" s="20">
        <v>45311</v>
      </c>
      <c r="B21" s="14" t="s">
        <v>17</v>
      </c>
      <c r="C21" s="14" t="s">
        <v>18</v>
      </c>
      <c r="D21" s="14" t="s">
        <v>19</v>
      </c>
      <c r="E21" s="14">
        <v>5</v>
      </c>
      <c r="F21" s="15">
        <v>4300</v>
      </c>
      <c r="G21" s="16">
        <v>7.0000000000000007E-2</v>
      </c>
      <c r="H21">
        <f>Dataset!$F21*Dataset!$G21</f>
        <v>301.00000000000006</v>
      </c>
      <c r="I21" s="14">
        <v>850</v>
      </c>
    </row>
  </sheetData>
  <phoneticPr fontId="4" type="noConversion"/>
  <conditionalFormatting sqref="I2:I21">
    <cfRule type="cellIs" dxfId="4" priority="1" operator="lessThan">
      <formula>1000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D01B4-F309-43A1-8CAE-A3DD1299E0BF}">
  <dimension ref="B2:J121"/>
  <sheetViews>
    <sheetView topLeftCell="A84" workbookViewId="0">
      <selection activeCell="B122" sqref="B122"/>
    </sheetView>
  </sheetViews>
  <sheetFormatPr defaultRowHeight="13.2" x14ac:dyDescent="0.25"/>
  <cols>
    <col min="2" max="2" width="17.109375" bestFit="1" customWidth="1"/>
    <col min="3" max="3" width="10" bestFit="1" customWidth="1"/>
    <col min="4" max="4" width="6.88671875" bestFit="1" customWidth="1"/>
    <col min="5" max="5" width="15.33203125" bestFit="1" customWidth="1"/>
    <col min="6" max="9" width="3.44140625" bestFit="1" customWidth="1"/>
    <col min="10" max="12" width="4.44140625" bestFit="1" customWidth="1"/>
    <col min="13" max="13" width="11.6640625" bestFit="1" customWidth="1"/>
  </cols>
  <sheetData>
    <row r="2" spans="2:5" x14ac:dyDescent="0.25">
      <c r="B2" t="s">
        <v>20</v>
      </c>
    </row>
    <row r="4" spans="2:5" x14ac:dyDescent="0.25">
      <c r="B4" s="1" t="s">
        <v>28</v>
      </c>
      <c r="C4" t="s">
        <v>30</v>
      </c>
    </row>
    <row r="5" spans="2:5" x14ac:dyDescent="0.25">
      <c r="B5" s="2" t="s">
        <v>14</v>
      </c>
      <c r="C5">
        <v>34800</v>
      </c>
      <c r="E5" t="s">
        <v>31</v>
      </c>
    </row>
    <row r="6" spans="2:5" x14ac:dyDescent="0.25">
      <c r="B6" s="2" t="s">
        <v>8</v>
      </c>
      <c r="C6">
        <v>31700</v>
      </c>
    </row>
    <row r="7" spans="2:5" x14ac:dyDescent="0.25">
      <c r="B7" s="2" t="s">
        <v>11</v>
      </c>
      <c r="C7">
        <v>29600</v>
      </c>
    </row>
    <row r="8" spans="2:5" x14ac:dyDescent="0.25">
      <c r="B8" s="2" t="s">
        <v>17</v>
      </c>
      <c r="C8">
        <v>28300</v>
      </c>
    </row>
    <row r="9" spans="2:5" x14ac:dyDescent="0.25">
      <c r="B9" s="2" t="s">
        <v>29</v>
      </c>
      <c r="C9">
        <v>124400</v>
      </c>
    </row>
    <row r="12" spans="2:5" x14ac:dyDescent="0.25">
      <c r="B12" t="s">
        <v>27</v>
      </c>
    </row>
    <row r="14" spans="2:5" x14ac:dyDescent="0.25">
      <c r="B14" s="1" t="s">
        <v>28</v>
      </c>
      <c r="C14" t="s">
        <v>30</v>
      </c>
    </row>
    <row r="15" spans="2:5" x14ac:dyDescent="0.25">
      <c r="B15" s="2" t="s">
        <v>14</v>
      </c>
      <c r="C15">
        <v>34800</v>
      </c>
    </row>
    <row r="16" spans="2:5" x14ac:dyDescent="0.25">
      <c r="B16" s="2" t="s">
        <v>8</v>
      </c>
      <c r="C16">
        <v>31700</v>
      </c>
    </row>
    <row r="17" spans="2:5" x14ac:dyDescent="0.25">
      <c r="B17" s="2" t="s">
        <v>11</v>
      </c>
      <c r="C17">
        <v>29600</v>
      </c>
    </row>
    <row r="18" spans="2:5" x14ac:dyDescent="0.25">
      <c r="B18" s="2" t="s">
        <v>17</v>
      </c>
      <c r="C18">
        <v>28300</v>
      </c>
    </row>
    <row r="19" spans="2:5" x14ac:dyDescent="0.25">
      <c r="B19" s="2" t="s">
        <v>29</v>
      </c>
      <c r="C19">
        <v>124400</v>
      </c>
      <c r="E19" t="s">
        <v>32</v>
      </c>
    </row>
    <row r="22" spans="2:5" x14ac:dyDescent="0.25">
      <c r="B22" t="s">
        <v>33</v>
      </c>
    </row>
    <row r="24" spans="2:5" x14ac:dyDescent="0.25">
      <c r="B24" s="1" t="s">
        <v>28</v>
      </c>
      <c r="C24" t="s">
        <v>30</v>
      </c>
    </row>
    <row r="25" spans="2:5" x14ac:dyDescent="0.25">
      <c r="B25" s="2" t="s">
        <v>34</v>
      </c>
      <c r="C25">
        <v>124400</v>
      </c>
    </row>
    <row r="37" spans="2:5" x14ac:dyDescent="0.25">
      <c r="B37" t="s">
        <v>21</v>
      </c>
    </row>
    <row r="39" spans="2:5" x14ac:dyDescent="0.25">
      <c r="B39" s="1" t="s">
        <v>28</v>
      </c>
      <c r="C39" t="s">
        <v>30</v>
      </c>
    </row>
    <row r="40" spans="2:5" x14ac:dyDescent="0.25">
      <c r="B40" s="2" t="s">
        <v>19</v>
      </c>
      <c r="C40">
        <v>36800</v>
      </c>
      <c r="E40" t="s">
        <v>35</v>
      </c>
    </row>
    <row r="41" spans="2:5" x14ac:dyDescent="0.25">
      <c r="B41" s="2" t="s">
        <v>13</v>
      </c>
      <c r="C41">
        <v>36300</v>
      </c>
    </row>
    <row r="42" spans="2:5" x14ac:dyDescent="0.25">
      <c r="B42" s="2" t="s">
        <v>16</v>
      </c>
      <c r="C42">
        <v>26300</v>
      </c>
    </row>
    <row r="43" spans="2:5" x14ac:dyDescent="0.25">
      <c r="B43" s="2" t="s">
        <v>10</v>
      </c>
      <c r="C43">
        <v>25000</v>
      </c>
    </row>
    <row r="44" spans="2:5" x14ac:dyDescent="0.25">
      <c r="B44" s="2" t="s">
        <v>29</v>
      </c>
      <c r="C44">
        <v>124400</v>
      </c>
    </row>
    <row r="47" spans="2:5" x14ac:dyDescent="0.25">
      <c r="B47" t="s">
        <v>22</v>
      </c>
    </row>
    <row r="49" spans="2:8" x14ac:dyDescent="0.25">
      <c r="B49" s="1" t="s">
        <v>28</v>
      </c>
      <c r="C49" t="s">
        <v>36</v>
      </c>
    </row>
    <row r="50" spans="2:8" x14ac:dyDescent="0.25">
      <c r="B50" s="2" t="s">
        <v>15</v>
      </c>
      <c r="C50">
        <v>7100</v>
      </c>
      <c r="E50" t="s">
        <v>37</v>
      </c>
    </row>
    <row r="51" spans="2:8" x14ac:dyDescent="0.25">
      <c r="B51" s="2" t="s">
        <v>9</v>
      </c>
      <c r="C51">
        <v>6100</v>
      </c>
    </row>
    <row r="52" spans="2:8" x14ac:dyDescent="0.25">
      <c r="B52" s="2" t="s">
        <v>12</v>
      </c>
      <c r="C52">
        <v>5900</v>
      </c>
    </row>
    <row r="53" spans="2:8" x14ac:dyDescent="0.25">
      <c r="B53" s="2" t="s">
        <v>18</v>
      </c>
      <c r="C53">
        <v>5650</v>
      </c>
    </row>
    <row r="54" spans="2:8" x14ac:dyDescent="0.25">
      <c r="B54" s="2" t="s">
        <v>29</v>
      </c>
      <c r="C54">
        <v>24750</v>
      </c>
    </row>
    <row r="57" spans="2:8" x14ac:dyDescent="0.25">
      <c r="B57" t="s">
        <v>23</v>
      </c>
    </row>
    <row r="62" spans="2:8" x14ac:dyDescent="0.25">
      <c r="B62" s="1" t="s">
        <v>28</v>
      </c>
      <c r="C62" t="s">
        <v>41</v>
      </c>
      <c r="D62" t="s">
        <v>44</v>
      </c>
      <c r="E62" t="s">
        <v>45</v>
      </c>
    </row>
    <row r="63" spans="2:8" x14ac:dyDescent="0.25">
      <c r="B63" s="2" t="s">
        <v>17</v>
      </c>
      <c r="C63">
        <v>28300</v>
      </c>
      <c r="D63">
        <v>2483</v>
      </c>
      <c r="E63" s="7">
        <v>8.7738515901060077E-2</v>
      </c>
      <c r="F63" s="6"/>
      <c r="H63" s="6" t="s">
        <v>46</v>
      </c>
    </row>
    <row r="64" spans="2:8" x14ac:dyDescent="0.25">
      <c r="B64" s="2" t="s">
        <v>8</v>
      </c>
      <c r="C64">
        <v>31700</v>
      </c>
      <c r="D64">
        <v>2523</v>
      </c>
      <c r="E64" s="7">
        <v>7.958990536277602E-2</v>
      </c>
    </row>
    <row r="65" spans="2:5" x14ac:dyDescent="0.25">
      <c r="B65" s="2" t="s">
        <v>11</v>
      </c>
      <c r="C65">
        <v>29600</v>
      </c>
      <c r="D65">
        <v>1571</v>
      </c>
      <c r="E65" s="7">
        <v>5.3074324324324323E-2</v>
      </c>
    </row>
    <row r="66" spans="2:5" x14ac:dyDescent="0.25">
      <c r="B66" s="2" t="s">
        <v>14</v>
      </c>
      <c r="C66">
        <v>34800</v>
      </c>
      <c r="D66">
        <v>1656</v>
      </c>
      <c r="E66" s="7">
        <v>4.7586206896551721E-2</v>
      </c>
    </row>
    <row r="68" spans="2:5" x14ac:dyDescent="0.25">
      <c r="B68" s="5"/>
      <c r="C68" s="4"/>
    </row>
    <row r="69" spans="2:5" x14ac:dyDescent="0.25">
      <c r="B69" t="s">
        <v>24</v>
      </c>
    </row>
    <row r="71" spans="2:5" x14ac:dyDescent="0.25">
      <c r="B71" s="1" t="s">
        <v>28</v>
      </c>
      <c r="C71" t="s">
        <v>30</v>
      </c>
    </row>
    <row r="72" spans="2:5" x14ac:dyDescent="0.25">
      <c r="B72" s="2" t="s">
        <v>15</v>
      </c>
      <c r="C72">
        <v>34800</v>
      </c>
    </row>
    <row r="73" spans="2:5" x14ac:dyDescent="0.25">
      <c r="B73" s="2" t="s">
        <v>18</v>
      </c>
      <c r="C73">
        <v>28300</v>
      </c>
    </row>
    <row r="74" spans="2:5" x14ac:dyDescent="0.25">
      <c r="B74" s="2" t="s">
        <v>12</v>
      </c>
      <c r="C74">
        <v>29600</v>
      </c>
    </row>
    <row r="75" spans="2:5" x14ac:dyDescent="0.25">
      <c r="B75" s="2" t="s">
        <v>9</v>
      </c>
      <c r="C75">
        <v>31700</v>
      </c>
    </row>
    <row r="76" spans="2:5" x14ac:dyDescent="0.25">
      <c r="B76" s="2" t="s">
        <v>29</v>
      </c>
      <c r="C76">
        <v>124400</v>
      </c>
    </row>
    <row r="77" spans="2:5" x14ac:dyDescent="0.25">
      <c r="B77" s="2"/>
    </row>
    <row r="78" spans="2:5" x14ac:dyDescent="0.25">
      <c r="B78" s="2"/>
    </row>
    <row r="79" spans="2:5" x14ac:dyDescent="0.25">
      <c r="B79" t="s">
        <v>25</v>
      </c>
    </row>
    <row r="81" spans="2:10" x14ac:dyDescent="0.25">
      <c r="B81" s="6" t="s">
        <v>40</v>
      </c>
    </row>
    <row r="84" spans="2:10" x14ac:dyDescent="0.25">
      <c r="B84" s="6" t="s">
        <v>39</v>
      </c>
    </row>
    <row r="86" spans="2:10" x14ac:dyDescent="0.25">
      <c r="B86" s="1" t="s">
        <v>28</v>
      </c>
      <c r="C86" t="s">
        <v>41</v>
      </c>
      <c r="D86" t="s">
        <v>42</v>
      </c>
      <c r="E86" t="s">
        <v>43</v>
      </c>
    </row>
    <row r="87" spans="2:10" x14ac:dyDescent="0.25">
      <c r="B87" s="2" t="s">
        <v>19</v>
      </c>
      <c r="E87" s="17"/>
    </row>
    <row r="88" spans="2:10" x14ac:dyDescent="0.25">
      <c r="B88" s="5" t="s">
        <v>15</v>
      </c>
      <c r="E88" s="17"/>
    </row>
    <row r="89" spans="2:10" x14ac:dyDescent="0.25">
      <c r="B89" s="18">
        <v>45306</v>
      </c>
      <c r="C89">
        <v>9900</v>
      </c>
      <c r="D89">
        <v>2200</v>
      </c>
      <c r="E89" s="17">
        <v>22.222222222222221</v>
      </c>
      <c r="J89" s="6" t="s">
        <v>47</v>
      </c>
    </row>
    <row r="90" spans="2:10" x14ac:dyDescent="0.25">
      <c r="B90" s="18">
        <v>45298</v>
      </c>
      <c r="C90">
        <v>10500</v>
      </c>
      <c r="D90">
        <v>2100</v>
      </c>
      <c r="E90" s="17">
        <v>20</v>
      </c>
    </row>
    <row r="91" spans="2:10" x14ac:dyDescent="0.25">
      <c r="B91" s="5" t="s">
        <v>18</v>
      </c>
      <c r="E91" s="17"/>
    </row>
    <row r="92" spans="2:10" x14ac:dyDescent="0.25">
      <c r="B92" s="18">
        <v>45303</v>
      </c>
      <c r="C92">
        <v>9100</v>
      </c>
      <c r="D92">
        <v>1900</v>
      </c>
      <c r="E92" s="17">
        <v>20.87912087912088</v>
      </c>
    </row>
    <row r="93" spans="2:10" x14ac:dyDescent="0.25">
      <c r="B93" s="18">
        <v>45295</v>
      </c>
      <c r="C93">
        <v>3000</v>
      </c>
      <c r="D93">
        <v>600</v>
      </c>
      <c r="E93" s="17">
        <v>20</v>
      </c>
    </row>
    <row r="94" spans="2:10" x14ac:dyDescent="0.25">
      <c r="B94" s="18">
        <v>45311</v>
      </c>
      <c r="C94">
        <v>4300</v>
      </c>
      <c r="D94">
        <v>850</v>
      </c>
      <c r="E94" s="17">
        <v>19.767441860465116</v>
      </c>
    </row>
    <row r="95" spans="2:10" x14ac:dyDescent="0.25">
      <c r="B95" s="2" t="s">
        <v>13</v>
      </c>
      <c r="E95" s="17"/>
    </row>
    <row r="96" spans="2:10" x14ac:dyDescent="0.25">
      <c r="B96" s="5" t="s">
        <v>12</v>
      </c>
      <c r="E96" s="17"/>
    </row>
    <row r="97" spans="2:5" x14ac:dyDescent="0.25">
      <c r="B97" s="18">
        <v>45293</v>
      </c>
      <c r="C97">
        <v>7000</v>
      </c>
      <c r="D97">
        <v>1500</v>
      </c>
      <c r="E97" s="17">
        <v>21.428571428571427</v>
      </c>
    </row>
    <row r="98" spans="2:5" x14ac:dyDescent="0.25">
      <c r="B98" s="18">
        <v>45301</v>
      </c>
      <c r="C98">
        <v>7700</v>
      </c>
      <c r="D98">
        <v>1600</v>
      </c>
      <c r="E98" s="17">
        <v>20.779220779220779</v>
      </c>
    </row>
    <row r="99" spans="2:5" x14ac:dyDescent="0.25">
      <c r="B99" s="18">
        <v>45309</v>
      </c>
      <c r="C99">
        <v>5200</v>
      </c>
      <c r="D99">
        <v>1000</v>
      </c>
      <c r="E99" s="17">
        <v>19.230769230769234</v>
      </c>
    </row>
    <row r="100" spans="2:5" x14ac:dyDescent="0.25">
      <c r="B100" s="5" t="s">
        <v>9</v>
      </c>
      <c r="E100" s="17"/>
    </row>
    <row r="101" spans="2:5" x14ac:dyDescent="0.25">
      <c r="B101" s="18">
        <v>45296</v>
      </c>
      <c r="C101">
        <v>8400</v>
      </c>
      <c r="D101">
        <v>1800</v>
      </c>
      <c r="E101" s="17">
        <v>21.428571428571427</v>
      </c>
    </row>
    <row r="102" spans="2:5" x14ac:dyDescent="0.25">
      <c r="B102" s="18">
        <v>45304</v>
      </c>
      <c r="C102">
        <v>8000</v>
      </c>
      <c r="D102">
        <v>1500</v>
      </c>
      <c r="E102" s="17">
        <v>18.75</v>
      </c>
    </row>
    <row r="103" spans="2:5" x14ac:dyDescent="0.25">
      <c r="B103" s="2" t="s">
        <v>16</v>
      </c>
      <c r="E103" s="17"/>
    </row>
    <row r="104" spans="2:5" x14ac:dyDescent="0.25">
      <c r="B104" s="5" t="s">
        <v>15</v>
      </c>
      <c r="E104" s="17"/>
    </row>
    <row r="105" spans="2:5" x14ac:dyDescent="0.25">
      <c r="B105" s="18">
        <v>45294</v>
      </c>
      <c r="C105">
        <v>4000</v>
      </c>
      <c r="D105">
        <v>800</v>
      </c>
      <c r="E105" s="17">
        <v>20</v>
      </c>
    </row>
    <row r="106" spans="2:5" x14ac:dyDescent="0.25">
      <c r="B106" s="18">
        <v>45302</v>
      </c>
      <c r="C106">
        <v>3600</v>
      </c>
      <c r="D106">
        <v>700</v>
      </c>
      <c r="E106" s="17">
        <v>19.444444444444446</v>
      </c>
    </row>
    <row r="107" spans="2:5" x14ac:dyDescent="0.25">
      <c r="B107" s="18">
        <v>45310</v>
      </c>
      <c r="C107">
        <v>6800</v>
      </c>
      <c r="D107">
        <v>1300</v>
      </c>
      <c r="E107" s="17">
        <v>19.117647058823529</v>
      </c>
    </row>
    <row r="108" spans="2:5" x14ac:dyDescent="0.25">
      <c r="B108" s="5" t="s">
        <v>18</v>
      </c>
      <c r="E108" s="17"/>
    </row>
    <row r="109" spans="2:5" x14ac:dyDescent="0.25">
      <c r="B109" s="18">
        <v>45299</v>
      </c>
      <c r="C109">
        <v>6200</v>
      </c>
      <c r="D109">
        <v>1200</v>
      </c>
      <c r="E109" s="17">
        <v>19.35483870967742</v>
      </c>
    </row>
    <row r="110" spans="2:5" x14ac:dyDescent="0.25">
      <c r="B110" s="18">
        <v>45307</v>
      </c>
      <c r="C110">
        <v>5700</v>
      </c>
      <c r="D110">
        <v>1100</v>
      </c>
      <c r="E110" s="17">
        <v>19.298245614035086</v>
      </c>
    </row>
    <row r="111" spans="2:5" x14ac:dyDescent="0.25">
      <c r="B111" s="2" t="s">
        <v>10</v>
      </c>
      <c r="E111" s="17"/>
    </row>
    <row r="112" spans="2:5" x14ac:dyDescent="0.25">
      <c r="B112" s="5" t="s">
        <v>12</v>
      </c>
      <c r="E112" s="17"/>
    </row>
    <row r="113" spans="2:5" x14ac:dyDescent="0.25">
      <c r="B113" s="18">
        <v>45305</v>
      </c>
      <c r="C113">
        <v>4800</v>
      </c>
      <c r="D113">
        <v>900</v>
      </c>
      <c r="E113" s="17">
        <v>18.75</v>
      </c>
    </row>
    <row r="114" spans="2:5" x14ac:dyDescent="0.25">
      <c r="B114" s="18">
        <v>45297</v>
      </c>
      <c r="C114">
        <v>4900</v>
      </c>
      <c r="D114">
        <v>900</v>
      </c>
      <c r="E114" s="17">
        <v>18.367346938775512</v>
      </c>
    </row>
    <row r="115" spans="2:5" x14ac:dyDescent="0.25">
      <c r="B115" s="5" t="s">
        <v>9</v>
      </c>
      <c r="E115" s="17"/>
    </row>
    <row r="116" spans="2:5" x14ac:dyDescent="0.25">
      <c r="B116" s="18">
        <v>45292</v>
      </c>
      <c r="C116">
        <v>5000</v>
      </c>
      <c r="D116">
        <v>1000</v>
      </c>
      <c r="E116" s="17">
        <v>20</v>
      </c>
    </row>
    <row r="117" spans="2:5" x14ac:dyDescent="0.25">
      <c r="B117" s="18">
        <v>45308</v>
      </c>
      <c r="C117">
        <v>7500</v>
      </c>
      <c r="D117">
        <v>1400</v>
      </c>
      <c r="E117" s="17">
        <v>18.666666666666668</v>
      </c>
    </row>
    <row r="118" spans="2:5" x14ac:dyDescent="0.25">
      <c r="B118" s="18">
        <v>45300</v>
      </c>
      <c r="C118">
        <v>2800</v>
      </c>
      <c r="D118">
        <v>400</v>
      </c>
      <c r="E118" s="17">
        <v>14.285714285714285</v>
      </c>
    </row>
    <row r="119" spans="2:5" x14ac:dyDescent="0.25">
      <c r="B119" s="3"/>
      <c r="E119" s="17"/>
    </row>
    <row r="121" spans="2:5" x14ac:dyDescent="0.25">
      <c r="B121" t="s">
        <v>26</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E443A-6EF4-4177-B405-8D290A265863}">
  <dimension ref="A1:I4"/>
  <sheetViews>
    <sheetView showGridLines="0" topLeftCell="A2" zoomScaleNormal="100" workbookViewId="0">
      <selection activeCell="U9" sqref="U9"/>
    </sheetView>
  </sheetViews>
  <sheetFormatPr defaultRowHeight="13.2" x14ac:dyDescent="0.25"/>
  <cols>
    <col min="1" max="1" width="2.5546875" style="25" customWidth="1"/>
  </cols>
  <sheetData>
    <row r="1" spans="1:9" s="24" customFormat="1" ht="30.75" customHeight="1" x14ac:dyDescent="0.25">
      <c r="A1" s="23"/>
    </row>
    <row r="4" spans="1:9" x14ac:dyDescent="0.25">
      <c r="I4"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10CF7-A447-4408-87BA-7475A7F16E55}">
  <dimension ref="B4:K38"/>
  <sheetViews>
    <sheetView topLeftCell="A11" workbookViewId="0">
      <selection activeCell="C38" sqref="C38"/>
    </sheetView>
  </sheetViews>
  <sheetFormatPr defaultRowHeight="13.2" x14ac:dyDescent="0.25"/>
  <cols>
    <col min="2" max="2" width="13.5546875" bestFit="1" customWidth="1"/>
    <col min="3" max="3" width="16.109375" bestFit="1" customWidth="1"/>
    <col min="5" max="5" width="10.6640625" bestFit="1" customWidth="1"/>
    <col min="8" max="8" width="15" bestFit="1" customWidth="1"/>
    <col min="11" max="11" width="15.21875" bestFit="1" customWidth="1"/>
  </cols>
  <sheetData>
    <row r="4" spans="2:11" x14ac:dyDescent="0.25">
      <c r="B4" t="s">
        <v>48</v>
      </c>
      <c r="E4" t="s">
        <v>49</v>
      </c>
      <c r="H4" t="s">
        <v>50</v>
      </c>
      <c r="K4" t="s">
        <v>51</v>
      </c>
    </row>
    <row r="5" spans="2:11" x14ac:dyDescent="0.25">
      <c r="B5" s="26">
        <v>29600</v>
      </c>
      <c r="E5" s="26">
        <v>5900</v>
      </c>
      <c r="H5" s="26">
        <v>43</v>
      </c>
      <c r="K5" s="22">
        <v>19.932432432432432</v>
      </c>
    </row>
    <row r="8" spans="2:11" x14ac:dyDescent="0.25">
      <c r="B8" s="1" t="s">
        <v>28</v>
      </c>
      <c r="C8" t="s">
        <v>52</v>
      </c>
    </row>
    <row r="9" spans="2:11" x14ac:dyDescent="0.25">
      <c r="B9" s="2" t="s">
        <v>11</v>
      </c>
      <c r="C9" s="26">
        <v>29600</v>
      </c>
    </row>
    <row r="10" spans="2:11" x14ac:dyDescent="0.25">
      <c r="B10" s="2" t="s">
        <v>29</v>
      </c>
      <c r="C10" s="26">
        <v>29600</v>
      </c>
    </row>
    <row r="16" spans="2:11" x14ac:dyDescent="0.25">
      <c r="B16" s="1" t="s">
        <v>28</v>
      </c>
      <c r="C16" t="s">
        <v>53</v>
      </c>
    </row>
    <row r="17" spans="2:3" x14ac:dyDescent="0.25">
      <c r="B17" s="2" t="s">
        <v>12</v>
      </c>
      <c r="C17" s="26">
        <v>29600</v>
      </c>
    </row>
    <row r="18" spans="2:3" x14ac:dyDescent="0.25">
      <c r="B18" s="2" t="s">
        <v>29</v>
      </c>
      <c r="C18" s="26">
        <v>29600</v>
      </c>
    </row>
    <row r="24" spans="2:3" x14ac:dyDescent="0.25">
      <c r="B24" s="1" t="s">
        <v>28</v>
      </c>
      <c r="C24" t="s">
        <v>54</v>
      </c>
    </row>
    <row r="25" spans="2:3" x14ac:dyDescent="0.25">
      <c r="B25" s="2" t="s">
        <v>10</v>
      </c>
      <c r="C25" s="26">
        <v>1800</v>
      </c>
    </row>
    <row r="26" spans="2:3" x14ac:dyDescent="0.25">
      <c r="B26" s="2" t="s">
        <v>13</v>
      </c>
      <c r="C26" s="26">
        <v>4100</v>
      </c>
    </row>
    <row r="27" spans="2:3" x14ac:dyDescent="0.25">
      <c r="B27" s="2" t="s">
        <v>29</v>
      </c>
      <c r="C27" s="26">
        <v>5900</v>
      </c>
    </row>
    <row r="32" spans="2:3" x14ac:dyDescent="0.25">
      <c r="B32" s="1" t="s">
        <v>28</v>
      </c>
      <c r="C32" t="s">
        <v>55</v>
      </c>
    </row>
    <row r="33" spans="2:3" x14ac:dyDescent="0.25">
      <c r="B33" s="3">
        <v>45293</v>
      </c>
      <c r="C33" s="26">
        <v>7000</v>
      </c>
    </row>
    <row r="34" spans="2:3" x14ac:dyDescent="0.25">
      <c r="B34" s="3">
        <v>45297</v>
      </c>
      <c r="C34" s="26">
        <v>4900</v>
      </c>
    </row>
    <row r="35" spans="2:3" x14ac:dyDescent="0.25">
      <c r="B35" s="3">
        <v>45301</v>
      </c>
      <c r="C35" s="26">
        <v>7700</v>
      </c>
    </row>
    <row r="36" spans="2:3" x14ac:dyDescent="0.25">
      <c r="B36" s="3">
        <v>45305</v>
      </c>
      <c r="C36" s="26">
        <v>4800</v>
      </c>
    </row>
    <row r="37" spans="2:3" x14ac:dyDescent="0.25">
      <c r="B37" s="3">
        <v>45309</v>
      </c>
      <c r="C37" s="26">
        <v>5200</v>
      </c>
    </row>
    <row r="38" spans="2:3" x14ac:dyDescent="0.25">
      <c r="B38" s="3" t="s">
        <v>29</v>
      </c>
      <c r="C38" s="26">
        <v>29600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Answers</vt:lpstr>
      <vt:lpstr>Dashboard</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arunparulsingh@gmail.com</cp:lastModifiedBy>
  <dcterms:created xsi:type="dcterms:W3CDTF">2026-02-23T17:35:00Z</dcterms:created>
  <dcterms:modified xsi:type="dcterms:W3CDTF">2026-02-27T17:27:30Z</dcterms:modified>
</cp:coreProperties>
</file>